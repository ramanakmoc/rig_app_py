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krissdrilling2-my.sharepoint.com/personal/it_admin_krissdrilling_com/Documents/Documents/"/>
    </mc:Choice>
  </mc:AlternateContent>
  <xr:revisionPtr revIDLastSave="34" documentId="13_ncr:1_{7429A121-984F-463C-9EC7-0F2D5A06D24F}" xr6:coauthVersionLast="47" xr6:coauthVersionMax="47" xr10:uidLastSave="{2B672EFA-122B-4151-A57D-F678631349CF}"/>
  <bookViews>
    <workbookView xWindow="-108" yWindow="-108" windowWidth="23256" windowHeight="12456" firstSheet="1" activeTab="1" xr2:uid="{00000000-000D-0000-FFFF-FFFF00000000}"/>
  </bookViews>
  <sheets>
    <sheet name="01-05-2026" sheetId="1" r:id="rId1"/>
    <sheet name="02-05-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3" i="1"/>
  <c r="I18" i="1"/>
  <c r="I19" i="1"/>
  <c r="I20" i="1"/>
  <c r="I21" i="1"/>
  <c r="I22" i="1"/>
  <c r="I23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2" i="1"/>
  <c r="I43" i="1"/>
  <c r="I44" i="1"/>
  <c r="I45" i="1"/>
  <c r="I46" i="1"/>
  <c r="I47" i="1"/>
  <c r="I48" i="1"/>
  <c r="I49" i="1"/>
  <c r="I50" i="1"/>
  <c r="I51" i="1"/>
  <c r="I53" i="1"/>
  <c r="I54" i="1"/>
  <c r="I55" i="1"/>
  <c r="I57" i="1"/>
  <c r="I58" i="1"/>
  <c r="I59" i="1"/>
  <c r="I60" i="1"/>
  <c r="I61" i="1"/>
  <c r="I62" i="1"/>
  <c r="I63" i="1"/>
  <c r="I64" i="1"/>
  <c r="I65" i="1"/>
  <c r="I66" i="1"/>
  <c r="I73" i="1"/>
  <c r="I74" i="1"/>
  <c r="I75" i="1"/>
  <c r="I76" i="1"/>
  <c r="I83" i="1"/>
  <c r="I84" i="1"/>
  <c r="I85" i="1"/>
  <c r="I86" i="1"/>
  <c r="I95" i="1"/>
  <c r="L6" i="1"/>
  <c r="L10" i="1"/>
  <c r="L12" i="1"/>
  <c r="L15" i="1"/>
  <c r="L17" i="1"/>
  <c r="L25" i="1"/>
  <c r="L41" i="1"/>
  <c r="L56" i="1"/>
  <c r="L68" i="1"/>
  <c r="L70" i="1"/>
  <c r="L72" i="1"/>
  <c r="L78" i="1"/>
  <c r="L80" i="1"/>
  <c r="L82" i="1"/>
  <c r="M6" i="1"/>
  <c r="M10" i="1"/>
  <c r="M12" i="1"/>
  <c r="M15" i="1"/>
  <c r="M17" i="1"/>
  <c r="M25" i="1"/>
  <c r="M41" i="1"/>
  <c r="M56" i="1"/>
  <c r="M68" i="1"/>
  <c r="M70" i="1"/>
  <c r="M72" i="1"/>
  <c r="M78" i="1"/>
  <c r="M80" i="1"/>
  <c r="M82" i="1"/>
  <c r="N6" i="1"/>
  <c r="N10" i="1"/>
  <c r="N12" i="1"/>
  <c r="N15" i="1"/>
  <c r="N17" i="1"/>
  <c r="N25" i="1"/>
  <c r="N41" i="1"/>
  <c r="N56" i="1"/>
  <c r="N68" i="1"/>
  <c r="N70" i="1"/>
  <c r="N72" i="1"/>
  <c r="N78" i="1"/>
  <c r="N80" i="1"/>
  <c r="N82" i="1"/>
  <c r="O10" i="1"/>
  <c r="O15" i="1"/>
  <c r="O17" i="1"/>
  <c r="O25" i="1"/>
  <c r="O41" i="1"/>
  <c r="O56" i="1"/>
  <c r="O68" i="1"/>
  <c r="O80" i="1"/>
  <c r="O82" i="1"/>
  <c r="P10" i="1"/>
  <c r="H102" i="1" s="1"/>
  <c r="P15" i="1"/>
  <c r="H106" i="1" s="1"/>
  <c r="P17" i="1"/>
  <c r="H108" i="1" s="1"/>
  <c r="P25" i="1"/>
  <c r="P41" i="1"/>
  <c r="P56" i="1"/>
  <c r="P68" i="1"/>
  <c r="P80" i="1"/>
  <c r="P82" i="1"/>
  <c r="G95" i="1"/>
  <c r="H6" i="1"/>
  <c r="H10" i="1"/>
  <c r="H12" i="1"/>
  <c r="H15" i="1"/>
  <c r="H17" i="1"/>
  <c r="H25" i="1"/>
  <c r="H41" i="1"/>
  <c r="H56" i="1"/>
  <c r="H68" i="1"/>
  <c r="H70" i="1"/>
  <c r="H72" i="1"/>
  <c r="H78" i="1"/>
  <c r="H80" i="1"/>
  <c r="H82" i="1"/>
  <c r="H98" i="1"/>
  <c r="H99" i="1"/>
  <c r="H100" i="1"/>
  <c r="H101" i="1"/>
  <c r="H103" i="1"/>
  <c r="H104" i="1"/>
  <c r="H105" i="1"/>
  <c r="H107" i="1"/>
  <c r="H109" i="1"/>
  <c r="H110" i="1"/>
  <c r="H111" i="1" l="1"/>
  <c r="H112" i="1" s="1"/>
  <c r="I37" i="2" l="1"/>
  <c r="I82" i="2" l="1"/>
  <c r="I81" i="2"/>
  <c r="I80" i="2"/>
  <c r="I79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H136" i="2" l="1"/>
  <c r="H135" i="2"/>
  <c r="E135" i="2"/>
  <c r="E134" i="2"/>
  <c r="H133" i="2"/>
  <c r="E133" i="2"/>
  <c r="E132" i="2"/>
  <c r="H131" i="2"/>
  <c r="E131" i="2"/>
  <c r="H130" i="2"/>
  <c r="E130" i="2"/>
  <c r="H129" i="2"/>
  <c r="E129" i="2"/>
  <c r="E128" i="2"/>
  <c r="H127" i="2"/>
  <c r="H126" i="2"/>
  <c r="H125" i="2"/>
  <c r="H124" i="2"/>
  <c r="I121" i="2"/>
  <c r="G121" i="2"/>
  <c r="F121" i="2"/>
  <c r="G116" i="2" s="1"/>
  <c r="E121" i="2"/>
  <c r="J3" i="2" s="1"/>
  <c r="I112" i="2"/>
  <c r="I111" i="2"/>
  <c r="I110" i="2"/>
  <c r="I109" i="2"/>
  <c r="P108" i="2"/>
  <c r="O108" i="2"/>
  <c r="N108" i="2"/>
  <c r="M108" i="2"/>
  <c r="L108" i="2"/>
  <c r="H108" i="2"/>
  <c r="C127" i="2" s="1"/>
  <c r="G136" i="2" s="1"/>
  <c r="P84" i="2"/>
  <c r="O84" i="2"/>
  <c r="N84" i="2"/>
  <c r="M84" i="2"/>
  <c r="L84" i="2"/>
  <c r="H84" i="2"/>
  <c r="G133" i="2" s="1"/>
  <c r="N78" i="2"/>
  <c r="M78" i="2"/>
  <c r="L78" i="2"/>
  <c r="H78" i="2"/>
  <c r="G134" i="2" s="1"/>
  <c r="I76" i="2"/>
  <c r="I75" i="2"/>
  <c r="I74" i="2"/>
  <c r="I73" i="2"/>
  <c r="N72" i="2"/>
  <c r="M72" i="2"/>
  <c r="L72" i="2"/>
  <c r="H72" i="2"/>
  <c r="C123" i="2" s="1"/>
  <c r="G131" i="2" s="1"/>
  <c r="N70" i="2"/>
  <c r="M70" i="2"/>
  <c r="L70" i="2"/>
  <c r="H70" i="2"/>
  <c r="C129" i="2" s="1"/>
  <c r="G125" i="2" s="1"/>
  <c r="P68" i="2"/>
  <c r="O68" i="2"/>
  <c r="N68" i="2"/>
  <c r="M68" i="2"/>
  <c r="L68" i="2"/>
  <c r="H68" i="2"/>
  <c r="C125" i="2" s="1"/>
  <c r="G132" i="2" s="1"/>
  <c r="I66" i="2"/>
  <c r="I65" i="2"/>
  <c r="I64" i="2"/>
  <c r="I63" i="2"/>
  <c r="I62" i="2"/>
  <c r="I61" i="2"/>
  <c r="I60" i="2"/>
  <c r="I59" i="2"/>
  <c r="I58" i="2"/>
  <c r="I57" i="2"/>
  <c r="P56" i="2"/>
  <c r="O56" i="2"/>
  <c r="N56" i="2"/>
  <c r="M56" i="2"/>
  <c r="L56" i="2"/>
  <c r="H56" i="2"/>
  <c r="C122" i="2" s="1"/>
  <c r="G130" i="2" s="1"/>
  <c r="I55" i="2"/>
  <c r="I54" i="2"/>
  <c r="I53" i="2"/>
  <c r="I51" i="2"/>
  <c r="I50" i="2"/>
  <c r="I49" i="2"/>
  <c r="I48" i="2"/>
  <c r="I47" i="2"/>
  <c r="I46" i="2"/>
  <c r="I45" i="2"/>
  <c r="I44" i="2"/>
  <c r="I43" i="2"/>
  <c r="I42" i="2"/>
  <c r="P41" i="2"/>
  <c r="O41" i="2"/>
  <c r="N41" i="2"/>
  <c r="M41" i="2"/>
  <c r="L41" i="2"/>
  <c r="H41" i="2"/>
  <c r="C121" i="2" s="1"/>
  <c r="G129" i="2" s="1"/>
  <c r="I39" i="2"/>
  <c r="I38" i="2"/>
  <c r="I36" i="2"/>
  <c r="I35" i="2"/>
  <c r="I34" i="2"/>
  <c r="I33" i="2"/>
  <c r="I32" i="2"/>
  <c r="I31" i="2"/>
  <c r="I30" i="2"/>
  <c r="I29" i="2"/>
  <c r="I28" i="2"/>
  <c r="I27" i="2"/>
  <c r="I26" i="2"/>
  <c r="P25" i="2"/>
  <c r="O25" i="2"/>
  <c r="N25" i="2"/>
  <c r="M25" i="2"/>
  <c r="L25" i="2"/>
  <c r="H25" i="2"/>
  <c r="I23" i="2"/>
  <c r="I22" i="2"/>
  <c r="I21" i="2"/>
  <c r="I20" i="2"/>
  <c r="I19" i="2"/>
  <c r="I18" i="2"/>
  <c r="P17" i="2"/>
  <c r="H134" i="2" s="1"/>
  <c r="O17" i="2"/>
  <c r="N17" i="2"/>
  <c r="M17" i="2"/>
  <c r="L17" i="2"/>
  <c r="H17" i="2"/>
  <c r="P15" i="2"/>
  <c r="H132" i="2" s="1"/>
  <c r="O15" i="2"/>
  <c r="N15" i="2"/>
  <c r="M15" i="2"/>
  <c r="L15" i="2"/>
  <c r="H15" i="2"/>
  <c r="C119" i="2" s="1"/>
  <c r="G127" i="2" s="1"/>
  <c r="I13" i="2"/>
  <c r="N12" i="2"/>
  <c r="M12" i="2"/>
  <c r="L12" i="2"/>
  <c r="H12" i="2"/>
  <c r="C118" i="2" s="1"/>
  <c r="G126" i="2" s="1"/>
  <c r="P10" i="2"/>
  <c r="H128" i="2" s="1"/>
  <c r="O10" i="2"/>
  <c r="N10" i="2"/>
  <c r="M10" i="2"/>
  <c r="L10" i="2"/>
  <c r="H10" i="2"/>
  <c r="C130" i="2" s="1"/>
  <c r="G135" i="2" s="1"/>
  <c r="I9" i="2"/>
  <c r="I8" i="2"/>
  <c r="I7" i="2"/>
  <c r="N6" i="2"/>
  <c r="M6" i="2"/>
  <c r="L6" i="2"/>
  <c r="H6" i="2"/>
  <c r="C117" i="2" s="1"/>
  <c r="E109" i="1"/>
  <c r="E108" i="1"/>
  <c r="E107" i="1"/>
  <c r="E106" i="1"/>
  <c r="E105" i="1"/>
  <c r="E104" i="1"/>
  <c r="E103" i="1"/>
  <c r="E102" i="1"/>
  <c r="F95" i="1"/>
  <c r="G90" i="1" s="1"/>
  <c r="E95" i="1"/>
  <c r="J3" i="1" s="1"/>
  <c r="C101" i="1"/>
  <c r="G110" i="1" s="1"/>
  <c r="C100" i="1"/>
  <c r="G107" i="1" s="1"/>
  <c r="C102" i="1"/>
  <c r="G108" i="1" s="1"/>
  <c r="C97" i="1"/>
  <c r="G105" i="1" s="1"/>
  <c r="C103" i="1"/>
  <c r="G99" i="1" s="1"/>
  <c r="C99" i="1"/>
  <c r="G106" i="1" s="1"/>
  <c r="C96" i="1"/>
  <c r="G104" i="1" s="1"/>
  <c r="C95" i="1"/>
  <c r="G103" i="1" s="1"/>
  <c r="C93" i="1"/>
  <c r="G101" i="1" s="1"/>
  <c r="C92" i="1"/>
  <c r="G100" i="1" s="1"/>
  <c r="C104" i="1"/>
  <c r="G109" i="1" s="1"/>
  <c r="C91" i="1"/>
  <c r="G98" i="1" s="1"/>
  <c r="C120" i="2" l="1"/>
  <c r="G128" i="2" s="1"/>
  <c r="G124" i="2"/>
  <c r="H137" i="2"/>
  <c r="H138" i="2" s="1"/>
  <c r="C94" i="1"/>
  <c r="G102" i="1" s="1"/>
  <c r="G111" i="1" s="1"/>
  <c r="G112" i="1" s="1"/>
  <c r="C131" i="2" l="1"/>
  <c r="J2" i="2" s="1"/>
  <c r="G137" i="2"/>
  <c r="G138" i="2" s="1"/>
  <c r="C105" i="1"/>
  <c r="J2" i="1" s="1"/>
</calcChain>
</file>

<file path=xl/sharedStrings.xml><?xml version="1.0" encoding="utf-8"?>
<sst xmlns="http://schemas.openxmlformats.org/spreadsheetml/2006/main" count="1477" uniqueCount="219">
  <si>
    <t>POB OF</t>
  </si>
  <si>
    <t>KS DRILLING (RIG PPE#02)</t>
  </si>
  <si>
    <t>LOCATION</t>
  </si>
  <si>
    <t>LTI FREE DAYS</t>
  </si>
  <si>
    <t>USE THIS COLOUR FOR  ARRIVED</t>
  </si>
  <si>
    <t>USE THIS COLOUR FOR LEFT</t>
  </si>
  <si>
    <t>FROM</t>
  </si>
  <si>
    <t>TOTAL POB</t>
  </si>
  <si>
    <t>TO</t>
  </si>
  <si>
    <t>: VEDANTA LIMITED</t>
  </si>
  <si>
    <t>DAY POB LIVE</t>
  </si>
  <si>
    <t>CC</t>
  </si>
  <si>
    <t>DATE</t>
  </si>
  <si>
    <t>S.No.</t>
  </si>
  <si>
    <t>NAME</t>
  </si>
  <si>
    <t>DESIGNATION</t>
  </si>
  <si>
    <t>SHIFT</t>
  </si>
  <si>
    <t>COMPANY</t>
  </si>
  <si>
    <t>ROOM NO.</t>
  </si>
  <si>
    <t>D.O.J</t>
  </si>
  <si>
    <t>DAYS</t>
  </si>
  <si>
    <t>NATIONALITY</t>
  </si>
  <si>
    <t>MOBILE NO</t>
  </si>
  <si>
    <t>MEALS</t>
  </si>
  <si>
    <t>ARRIVED</t>
  </si>
  <si>
    <t>LEFT</t>
  </si>
  <si>
    <t>REMARKS</t>
  </si>
  <si>
    <t xml:space="preserve">               </t>
  </si>
  <si>
    <t xml:space="preserve">VEDANTA PERSON </t>
  </si>
  <si>
    <t>CIL</t>
  </si>
  <si>
    <t>DAY COMPANY MAN</t>
  </si>
  <si>
    <t>D</t>
  </si>
  <si>
    <t>VEDANTA</t>
  </si>
  <si>
    <t>RIG SITE CAMP</t>
  </si>
  <si>
    <t>BUNK HOUSE NO .101</t>
  </si>
  <si>
    <t>INDIAN</t>
  </si>
  <si>
    <t>B</t>
  </si>
  <si>
    <t>L</t>
  </si>
  <si>
    <t>NIGHT COMPANY MAN</t>
  </si>
  <si>
    <t>N</t>
  </si>
  <si>
    <t>BUNK HOUSE NO .102</t>
  </si>
  <si>
    <t>KRUNAL SHINDE</t>
  </si>
  <si>
    <t>LOGISTIC</t>
  </si>
  <si>
    <t>KI CAMP</t>
  </si>
  <si>
    <t>-</t>
  </si>
  <si>
    <t>LOCAL</t>
  </si>
  <si>
    <t>VEDANTA VISITORS</t>
  </si>
  <si>
    <t xml:space="preserve">VEDANTA SERVICES </t>
  </si>
  <si>
    <t>VEDANTA SERVICE PARTY DRIVE</t>
  </si>
  <si>
    <t/>
  </si>
  <si>
    <t>GENERAL SHIFT CREW</t>
  </si>
  <si>
    <t>KSD</t>
  </si>
  <si>
    <t>MOHD MONDAL</t>
  </si>
  <si>
    <t>CHIEF MECHINIC</t>
  </si>
  <si>
    <t>G</t>
  </si>
  <si>
    <t>BUNK HOUSE NO .106</t>
  </si>
  <si>
    <t>MOHD ISHAK</t>
  </si>
  <si>
    <t>CHIEF ELECTRICIAN</t>
  </si>
  <si>
    <t xml:space="preserve">DUDE </t>
  </si>
  <si>
    <t>VEDANT HOTEL</t>
  </si>
  <si>
    <t>HSE</t>
  </si>
  <si>
    <t>DEEPAK MISHRA</t>
  </si>
  <si>
    <t>STORE KEEPER</t>
  </si>
  <si>
    <t>WELDER</t>
  </si>
  <si>
    <t>BUNK HOUSE NO .109</t>
  </si>
  <si>
    <t>DAY SHIFT CREW</t>
  </si>
  <si>
    <t xml:space="preserve">TOOL PUSHER </t>
  </si>
  <si>
    <t>BUNK HOUSE NO .105</t>
  </si>
  <si>
    <t xml:space="preserve">DRILLER </t>
  </si>
  <si>
    <t>SANJAY KUMAR JHA</t>
  </si>
  <si>
    <t>ASST. DRILLER</t>
  </si>
  <si>
    <t>JASWANT SINGH</t>
  </si>
  <si>
    <t xml:space="preserve">DERRICK MAN </t>
  </si>
  <si>
    <t>BAJRANG</t>
  </si>
  <si>
    <t>FLOORMAN</t>
  </si>
  <si>
    <t>MUKESH SERAWAT</t>
  </si>
  <si>
    <t>ANURAG PRAJAPATI</t>
  </si>
  <si>
    <t>GOVIND SINGH</t>
  </si>
  <si>
    <t>DHARMENDRA SINGH</t>
  </si>
  <si>
    <t>ROUSTABOUT</t>
  </si>
  <si>
    <t>RAVI KUMAR</t>
  </si>
  <si>
    <t>NISHAT ALAM</t>
  </si>
  <si>
    <t>ELECTRICIAN</t>
  </si>
  <si>
    <t>NIRANJAN SETHI</t>
  </si>
  <si>
    <t>MECHANIC</t>
  </si>
  <si>
    <t>NIGHT SHIFT CREW</t>
  </si>
  <si>
    <t>NIGHT TOOL PUSHER</t>
  </si>
  <si>
    <t>SANJEEV KUMAR</t>
  </si>
  <si>
    <t>ANIMESH DAS</t>
  </si>
  <si>
    <t>KSD 3RD PARTY</t>
  </si>
  <si>
    <t>DOCTOR</t>
  </si>
  <si>
    <t xml:space="preserve">DHANWANTRI HOSPITAL </t>
  </si>
  <si>
    <t xml:space="preserve">MEDIC BUNK </t>
  </si>
  <si>
    <t>VEDRAJ</t>
  </si>
  <si>
    <t xml:space="preserve">AMBULANCE DVR </t>
  </si>
  <si>
    <t>GANGA RAM</t>
  </si>
  <si>
    <t>HYDRA OPERATOR</t>
  </si>
  <si>
    <t>JNCC</t>
  </si>
  <si>
    <t>SHYAM LAL</t>
  </si>
  <si>
    <t>CRANE OPERATOR</t>
  </si>
  <si>
    <t>ACC</t>
  </si>
  <si>
    <t>CRANE HELPER</t>
  </si>
  <si>
    <t>NARESH KUMAR</t>
  </si>
  <si>
    <t>FORKLIFT OPERATOR</t>
  </si>
  <si>
    <t>SBTC</t>
  </si>
  <si>
    <t>PRAHLAD RAM</t>
  </si>
  <si>
    <t>SANKAR LAL</t>
  </si>
  <si>
    <t>RAWATA RAM</t>
  </si>
  <si>
    <t>BABU LAL</t>
  </si>
  <si>
    <t>KSD VISITORS</t>
  </si>
  <si>
    <t xml:space="preserve">KSD's DRIVER </t>
  </si>
  <si>
    <t>CATERING SERVICES AT RIG SITE</t>
  </si>
  <si>
    <t>JETA RAM</t>
  </si>
  <si>
    <t>CAMP ADMIN</t>
  </si>
  <si>
    <t>BI INFRA</t>
  </si>
  <si>
    <t>THANA RAM</t>
  </si>
  <si>
    <t>HOUSEKEEPER</t>
  </si>
  <si>
    <t>JAMA RAM</t>
  </si>
  <si>
    <t>MESS BOY</t>
  </si>
  <si>
    <t>ILM CRANE</t>
  </si>
  <si>
    <t xml:space="preserve">KSD </t>
  </si>
  <si>
    <t xml:space="preserve">ILM TRAILER </t>
  </si>
  <si>
    <t>SECURITY</t>
  </si>
  <si>
    <t>KHETA RAM</t>
  </si>
  <si>
    <t xml:space="preserve">SECURITY GUARD </t>
  </si>
  <si>
    <t>MALANI  SECURITY</t>
  </si>
  <si>
    <t>LIKHAMA RAM</t>
  </si>
  <si>
    <t>RAVTA RAM</t>
  </si>
  <si>
    <t>GAINA RAM</t>
  </si>
  <si>
    <t>TOTAL POB QUICK VIEW @ RIG PPE # 02</t>
  </si>
  <si>
    <t>TOTAL NIGHT POB LIVE</t>
  </si>
  <si>
    <t xml:space="preserve">VCIL SERVICES </t>
  </si>
  <si>
    <t xml:space="preserve">VEDANTA SERVICE PARTY DRIVER </t>
  </si>
  <si>
    <t>TOTAL PERSONS</t>
  </si>
  <si>
    <t>KSD DAY</t>
  </si>
  <si>
    <t>IN DAY</t>
  </si>
  <si>
    <t>IN NIGHT</t>
  </si>
  <si>
    <t>AT RIG SITE</t>
  </si>
  <si>
    <t xml:space="preserve">AT GENERAL </t>
  </si>
  <si>
    <t>KSD NIGHT</t>
  </si>
  <si>
    <t>KSD THIRD PARTY</t>
  </si>
  <si>
    <t xml:space="preserve">CATERING STAFF AT RIG </t>
  </si>
  <si>
    <t xml:space="preserve">COMPANY </t>
  </si>
  <si>
    <t xml:space="preserve">CATERING STAFF AT CAMP </t>
  </si>
  <si>
    <t>KSD  VISITORS</t>
  </si>
  <si>
    <t xml:space="preserve">KSD'S DRIVER </t>
  </si>
  <si>
    <t>ILM TLR DVR &amp; HELP</t>
  </si>
  <si>
    <t>VEDANTA DRIVERS</t>
  </si>
  <si>
    <t xml:space="preserve">VEDANTA VISITOR </t>
  </si>
  <si>
    <t xml:space="preserve">GRAND TOTAL POB </t>
  </si>
  <si>
    <t>TOTAL ARRIVED &amp; LEFT</t>
  </si>
  <si>
    <t>GRAND TOTAL</t>
  </si>
  <si>
    <t>MWP13</t>
  </si>
  <si>
    <t>RIG PPE#02 (MWP13 }</t>
  </si>
  <si>
    <t>LOKESH SARAHA</t>
  </si>
  <si>
    <t>VIJAY CHAMBEL</t>
  </si>
  <si>
    <t>ARJUN SINGH</t>
  </si>
  <si>
    <t>FS</t>
  </si>
  <si>
    <t>CAMERON</t>
  </si>
  <si>
    <t>BUNK HOUSE NO .108</t>
  </si>
  <si>
    <t>PUSHPENDRA KUMAR</t>
  </si>
  <si>
    <t>ATLURI BENARJI</t>
  </si>
  <si>
    <t xml:space="preserve">RUGHNATH </t>
  </si>
  <si>
    <t>PRATEEK VEERAM</t>
  </si>
  <si>
    <t>SUNIL KUMAR</t>
  </si>
  <si>
    <t xml:space="preserve">JOGA RAM </t>
  </si>
  <si>
    <t>BHOM SINGH</t>
  </si>
  <si>
    <t>VIKAS SHARMA</t>
  </si>
  <si>
    <t>RAMESH KUMAR</t>
  </si>
  <si>
    <t>ANUJ YADAV</t>
  </si>
  <si>
    <t>RANDHIR SINGH</t>
  </si>
  <si>
    <t>LAL MOHAN KUMAR</t>
  </si>
  <si>
    <t>KANVRAJ</t>
  </si>
  <si>
    <t>RANU SINGH</t>
  </si>
  <si>
    <t>ANEESH JADHAV</t>
  </si>
  <si>
    <t>OM PRKASH</t>
  </si>
  <si>
    <t>JETHA RAM</t>
  </si>
  <si>
    <t>VIKRAM SINGH</t>
  </si>
  <si>
    <t xml:space="preserve">DILIP BENIWAL </t>
  </si>
  <si>
    <t>RO</t>
  </si>
  <si>
    <t xml:space="preserve">V RAMANA </t>
  </si>
  <si>
    <t>DHARMENDRA OJHA</t>
  </si>
  <si>
    <t xml:space="preserve">ARUN SHARMA </t>
  </si>
  <si>
    <t>JOGA RAM</t>
  </si>
  <si>
    <t>DRIVER</t>
  </si>
  <si>
    <t>RJ 04 GA 6897</t>
  </si>
  <si>
    <t>ASHOK KUMAR</t>
  </si>
  <si>
    <t>HELPER</t>
  </si>
  <si>
    <t>MANA RAM</t>
  </si>
  <si>
    <t>RJ 04 GB 3775</t>
  </si>
  <si>
    <t xml:space="preserve">LAXMAN </t>
  </si>
  <si>
    <t>KANWARA RAM</t>
  </si>
  <si>
    <t>RJ 19 GG 2900</t>
  </si>
  <si>
    <t xml:space="preserve">PREM </t>
  </si>
  <si>
    <t>PURNA RAM</t>
  </si>
  <si>
    <t>RJ 04 GC 0258</t>
  </si>
  <si>
    <t>PREMA RAM</t>
  </si>
  <si>
    <t>JEET INFRA</t>
  </si>
  <si>
    <t>RJ 46 GA 4441</t>
  </si>
  <si>
    <t>VIRENDRA SINGH</t>
  </si>
  <si>
    <t>NARPAT CHOUDHARY</t>
  </si>
  <si>
    <t>RJ 04 GC  7577</t>
  </si>
  <si>
    <t>JASRAJ</t>
  </si>
  <si>
    <t>OM PRAKASH</t>
  </si>
  <si>
    <t>RJ 36 GA 5267</t>
  </si>
  <si>
    <t>PRAKASH</t>
  </si>
  <si>
    <t>JASPAL</t>
  </si>
  <si>
    <t>RJ 04 GC 6778</t>
  </si>
  <si>
    <t>LIKMA RAM</t>
  </si>
  <si>
    <t>BHAWARA RAM</t>
  </si>
  <si>
    <t>RJ 04 GC 3815</t>
  </si>
  <si>
    <t>BABU RAM</t>
  </si>
  <si>
    <t>DUVRKA RAM</t>
  </si>
  <si>
    <t>RJ 04 GC 8185</t>
  </si>
  <si>
    <t>RJ 04 GB 7139</t>
  </si>
  <si>
    <t xml:space="preserve">ARJUN RAM </t>
  </si>
  <si>
    <t xml:space="preserve">SATTA RAM </t>
  </si>
  <si>
    <t xml:space="preserve">PRABHU RAM </t>
  </si>
  <si>
    <t xml:space="preserve">TAUSIF KHAN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</si>
</sst>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dd\-mmmm\-yyyy"/>
    <numFmt numFmtId="166" formatCode="[$-409]dd\-mmm\-yy;@"/>
    <numFmt numFmtId="167" formatCode="dd/mm/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color rgb="FFFF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sz val="10"/>
      <color rgb="FFFFFF00"/>
      <name val="Calibri"/>
      <family val="2"/>
    </font>
    <font>
      <b/>
      <sz val="10"/>
      <color rgb="FFFF0000"/>
      <name val="Calibri"/>
      <family val="2"/>
    </font>
    <font>
      <b/>
      <sz val="10"/>
      <color theme="1" tint="0.14999847407452621"/>
      <name val="Calibri"/>
      <family val="2"/>
    </font>
    <font>
      <b/>
      <sz val="10"/>
      <color theme="0"/>
      <name val="Calibri"/>
      <family val="2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/>
    <xf numFmtId="14" fontId="2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9" fillId="2" borderId="2" xfId="0" applyFont="1" applyFill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67" fontId="9" fillId="3" borderId="2" xfId="0" applyNumberFormat="1" applyFont="1" applyFill="1" applyBorder="1" applyAlignment="1">
      <alignment horizontal="center" vertical="center"/>
    </xf>
    <xf numFmtId="14" fontId="9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6" xfId="0" applyFont="1" applyFill="1" applyBorder="1" applyAlignment="1">
      <alignment horizontal="center" vertical="center"/>
    </xf>
    <xf numFmtId="14" fontId="9" fillId="3" borderId="6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7" fontId="10" fillId="8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20" fontId="9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0" borderId="0" xfId="0" applyFont="1"/>
    <xf numFmtId="167" fontId="10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0" fillId="2" borderId="1" xfId="0" applyFont="1" applyFill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vertical="center"/>
    </xf>
    <xf numFmtId="1" fontId="9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167" fontId="9" fillId="6" borderId="1" xfId="0" applyNumberFormat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center" vertical="center"/>
    </xf>
    <xf numFmtId="14" fontId="9" fillId="3" borderId="9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167" fontId="10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indent="1"/>
    </xf>
    <xf numFmtId="0" fontId="9" fillId="10" borderId="1" xfId="0" applyFont="1" applyFill="1" applyBorder="1" applyAlignment="1">
      <alignment horizontal="center" vertical="center"/>
    </xf>
    <xf numFmtId="0" fontId="10" fillId="0" borderId="0" xfId="0" applyFont="1"/>
    <xf numFmtId="0" fontId="9" fillId="2" borderId="9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 vertical="center" indent="1"/>
    </xf>
    <xf numFmtId="0" fontId="2" fillId="0" borderId="4" xfId="0" applyFont="1" applyBorder="1" applyAlignment="1">
      <alignment horizontal="right" vertical="center" indent="1"/>
    </xf>
    <xf numFmtId="0" fontId="2" fillId="0" borderId="5" xfId="0" applyFont="1" applyBorder="1" applyAlignment="1">
      <alignment horizontal="right" vertical="center" indent="1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5" fontId="3" fillId="2" borderId="3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 wrapText="1"/>
    </xf>
    <xf numFmtId="1" fontId="5" fillId="0" borderId="5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right" vertical="center" indent="1"/>
    </xf>
    <xf numFmtId="165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70C891DE-3003-47FE-9CB3-3A02D739B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79374</xdr:rowOff>
    </xdr:from>
    <xdr:ext cx="3524250" cy="636721"/>
    <xdr:pic>
      <xdr:nvPicPr>
        <xdr:cNvPr id="4" name="Picture 6">
          <a:extLst>
            <a:ext uri="{FF2B5EF4-FFF2-40B4-BE49-F238E27FC236}">
              <a16:creationId xmlns:a16="http://schemas.microsoft.com/office/drawing/2014/main" id="{236C1D87-DC9A-46B1-86E3-BF02D4C97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558" b="18564"/>
        <a:stretch>
          <a:fillRect/>
        </a:stretch>
      </xdr:blipFill>
      <xdr:spPr bwMode="auto">
        <a:xfrm>
          <a:off x="266700" y="79374"/>
          <a:ext cx="3524250" cy="6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155612</xdr:colOff>
      <xdr:row>0</xdr:row>
      <xdr:rowOff>39691</xdr:rowOff>
    </xdr:from>
    <xdr:to>
      <xdr:col>16</xdr:col>
      <xdr:colOff>2054088</xdr:colOff>
      <xdr:row>3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A58160-C2CE-4BF9-87D0-8E822F1EEB71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83" r="3362"/>
        <a:stretch/>
      </xdr:blipFill>
      <xdr:spPr>
        <a:xfrm>
          <a:off x="13909712" y="39691"/>
          <a:ext cx="1898476" cy="6842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79374</xdr:rowOff>
    </xdr:from>
    <xdr:ext cx="3524250" cy="636721"/>
    <xdr:pic>
      <xdr:nvPicPr>
        <xdr:cNvPr id="2" name="Picture 6">
          <a:extLst>
            <a:ext uri="{FF2B5EF4-FFF2-40B4-BE49-F238E27FC236}">
              <a16:creationId xmlns:a16="http://schemas.microsoft.com/office/drawing/2014/main" id="{AB3CDF30-1907-4427-A958-E760C6544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558" b="18564"/>
        <a:stretch>
          <a:fillRect/>
        </a:stretch>
      </xdr:blipFill>
      <xdr:spPr bwMode="auto">
        <a:xfrm>
          <a:off x="266700" y="79374"/>
          <a:ext cx="3524250" cy="6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155612</xdr:colOff>
      <xdr:row>0</xdr:row>
      <xdr:rowOff>39691</xdr:rowOff>
    </xdr:from>
    <xdr:to>
      <xdr:col>16</xdr:col>
      <xdr:colOff>2054088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CA63C7-E984-41B0-8108-977563992139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83" r="3362"/>
        <a:stretch/>
      </xdr:blipFill>
      <xdr:spPr>
        <a:xfrm>
          <a:off x="13909712" y="39691"/>
          <a:ext cx="1898476" cy="75088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"/>
  <sheetViews>
    <sheetView workbookViewId="0">
      <selection activeCell="E1" sqref="A1:XFD4"/>
    </sheetView>
  </sheetViews>
  <sheetFormatPr defaultRowHeight="14.4" x14ac:dyDescent="0.3"/>
  <cols>
    <col min="1" max="1" width="5.33203125" style="83" bestFit="1" customWidth="1"/>
    <col min="2" max="2" width="27.5546875" style="83" bestFit="1" customWidth="1"/>
    <col min="3" max="3" width="19.33203125" style="83" bestFit="1" customWidth="1"/>
    <col min="4" max="4" width="7.88671875" style="84" customWidth="1"/>
    <col min="5" max="5" width="20.88671875" style="83" bestFit="1" customWidth="1"/>
    <col min="6" max="6" width="22.44140625" style="83" customWidth="1"/>
    <col min="7" max="7" width="18.88671875" style="83" customWidth="1"/>
    <col min="8" max="8" width="11.5546875" style="83" bestFit="1" customWidth="1"/>
    <col min="9" max="9" width="11.88671875" customWidth="1"/>
    <col min="10" max="10" width="11.33203125" bestFit="1" customWidth="1"/>
    <col min="11" max="11" width="11" bestFit="1" customWidth="1"/>
    <col min="12" max="14" width="4.6640625" customWidth="1"/>
    <col min="15" max="15" width="12.88671875" customWidth="1"/>
    <col min="16" max="16" width="11.44140625" customWidth="1"/>
    <col min="17" max="17" width="31.5546875" style="85" customWidth="1"/>
    <col min="19" max="19" width="16.88671875" bestFit="1" customWidth="1"/>
  </cols>
  <sheetData>
    <row r="1" spans="1:17" ht="16.5" customHeight="1" x14ac:dyDescent="0.3">
      <c r="A1" s="97"/>
      <c r="B1" s="98"/>
      <c r="C1" s="98"/>
      <c r="D1" s="99"/>
      <c r="E1" s="1" t="s">
        <v>0</v>
      </c>
      <c r="F1" s="91" t="s">
        <v>1</v>
      </c>
      <c r="G1" s="92"/>
      <c r="H1" s="93" t="s">
        <v>2</v>
      </c>
      <c r="I1" s="94"/>
      <c r="J1" s="1" t="s">
        <v>152</v>
      </c>
      <c r="K1" s="115" t="s">
        <v>3</v>
      </c>
      <c r="L1" s="116"/>
      <c r="M1" s="116"/>
      <c r="N1" s="117"/>
      <c r="O1" s="112" t="s">
        <v>4</v>
      </c>
      <c r="P1" s="112" t="s">
        <v>5</v>
      </c>
      <c r="Q1" s="109">
        <v>43917</v>
      </c>
    </row>
    <row r="2" spans="1:17" x14ac:dyDescent="0.3">
      <c r="A2" s="100"/>
      <c r="B2" s="101"/>
      <c r="C2" s="101"/>
      <c r="D2" s="102"/>
      <c r="E2" s="1" t="s">
        <v>6</v>
      </c>
      <c r="F2" s="91" t="s">
        <v>153</v>
      </c>
      <c r="G2" s="92"/>
      <c r="H2" s="93" t="s">
        <v>7</v>
      </c>
      <c r="I2" s="94"/>
      <c r="J2" s="1">
        <f>C105</f>
        <v>56</v>
      </c>
      <c r="K2" s="118"/>
      <c r="L2" s="119"/>
      <c r="M2" s="119"/>
      <c r="N2" s="120"/>
      <c r="O2" s="113"/>
      <c r="P2" s="113"/>
      <c r="Q2" s="110"/>
    </row>
    <row r="3" spans="1:17" ht="18" x14ac:dyDescent="0.35">
      <c r="A3" s="100"/>
      <c r="B3" s="101"/>
      <c r="C3" s="101"/>
      <c r="D3" s="102"/>
      <c r="E3" s="1" t="s">
        <v>8</v>
      </c>
      <c r="F3" s="95" t="s">
        <v>9</v>
      </c>
      <c r="G3" s="96"/>
      <c r="H3" s="93" t="s">
        <v>10</v>
      </c>
      <c r="I3" s="94"/>
      <c r="J3" s="3">
        <f>E95</f>
        <v>25</v>
      </c>
      <c r="K3" s="124">
        <v>55</v>
      </c>
      <c r="L3" s="125"/>
      <c r="M3" s="125"/>
      <c r="N3" s="126"/>
      <c r="O3" s="114"/>
      <c r="P3" s="114"/>
      <c r="Q3" s="110"/>
    </row>
    <row r="4" spans="1:17" ht="18" x14ac:dyDescent="0.3">
      <c r="A4" s="103"/>
      <c r="B4" s="104"/>
      <c r="C4" s="104"/>
      <c r="D4" s="105"/>
      <c r="E4" s="1" t="s">
        <v>11</v>
      </c>
      <c r="F4" s="93"/>
      <c r="G4" s="94"/>
      <c r="H4" s="106" t="s">
        <v>12</v>
      </c>
      <c r="I4" s="107"/>
      <c r="J4" s="108"/>
      <c r="K4" s="121">
        <v>46143</v>
      </c>
      <c r="L4" s="122"/>
      <c r="M4" s="122"/>
      <c r="N4" s="123"/>
      <c r="O4" s="2"/>
      <c r="P4" s="4"/>
      <c r="Q4" s="111"/>
    </row>
    <row r="5" spans="1:17" s="8" customFormat="1" ht="13.8" x14ac:dyDescent="0.3">
      <c r="A5" s="5" t="s">
        <v>13</v>
      </c>
      <c r="B5" s="6" t="s">
        <v>14</v>
      </c>
      <c r="C5" s="5" t="s">
        <v>15</v>
      </c>
      <c r="D5" s="5" t="s">
        <v>16</v>
      </c>
      <c r="E5" s="5" t="s">
        <v>17</v>
      </c>
      <c r="F5" s="5" t="s">
        <v>1</v>
      </c>
      <c r="G5" s="5" t="s">
        <v>18</v>
      </c>
      <c r="H5" s="7" t="s">
        <v>19</v>
      </c>
      <c r="I5" s="5" t="s">
        <v>20</v>
      </c>
      <c r="J5" s="5" t="s">
        <v>21</v>
      </c>
      <c r="K5" s="5" t="s">
        <v>22</v>
      </c>
      <c r="L5" s="5" t="s">
        <v>23</v>
      </c>
      <c r="M5" s="157"/>
      <c r="N5" s="158"/>
      <c r="O5" s="5" t="s">
        <v>24</v>
      </c>
      <c r="P5" s="5" t="s">
        <v>25</v>
      </c>
      <c r="Q5" s="5" t="s">
        <v>26</v>
      </c>
    </row>
    <row r="6" spans="1:17" s="8" customFormat="1" ht="13.8" x14ac:dyDescent="0.3">
      <c r="A6" s="2" t="s">
        <v>27</v>
      </c>
      <c r="B6" s="2" t="s">
        <v>28</v>
      </c>
      <c r="C6" s="2"/>
      <c r="D6" s="2"/>
      <c r="E6" s="2" t="s">
        <v>29</v>
      </c>
      <c r="F6" s="9"/>
      <c r="G6" s="9"/>
      <c r="H6" s="10">
        <f>COUNT(A7:A9)</f>
        <v>3</v>
      </c>
      <c r="I6" s="2"/>
      <c r="J6" s="11"/>
      <c r="K6" s="12"/>
      <c r="L6" s="2">
        <f>COUNTA(L7:L9)</f>
        <v>3</v>
      </c>
      <c r="M6" s="2">
        <f>COUNTA(M7:M9)</f>
        <v>2</v>
      </c>
      <c r="N6" s="2">
        <f>COUNTA(N7:N9)</f>
        <v>2</v>
      </c>
      <c r="O6" s="13">
        <v>0</v>
      </c>
      <c r="P6" s="13">
        <v>0</v>
      </c>
      <c r="Q6" s="2"/>
    </row>
    <row r="7" spans="1:17" s="20" customFormat="1" ht="13.8" x14ac:dyDescent="0.3">
      <c r="A7" s="14">
        <v>1</v>
      </c>
      <c r="B7" s="86" t="s">
        <v>154</v>
      </c>
      <c r="C7" s="16" t="s">
        <v>30</v>
      </c>
      <c r="D7" s="17" t="s">
        <v>31</v>
      </c>
      <c r="E7" s="14" t="s">
        <v>32</v>
      </c>
      <c r="F7" s="18" t="s">
        <v>33</v>
      </c>
      <c r="G7" s="16" t="s">
        <v>34</v>
      </c>
      <c r="H7" s="19">
        <v>46139</v>
      </c>
      <c r="I7" s="14">
        <f>IF(H7="",0,$K$4-H7+1)</f>
        <v>5</v>
      </c>
      <c r="J7" s="14" t="s">
        <v>35</v>
      </c>
      <c r="K7" s="14"/>
      <c r="L7" s="14" t="s">
        <v>36</v>
      </c>
      <c r="M7" s="14" t="s">
        <v>37</v>
      </c>
      <c r="N7" s="14" t="s">
        <v>31</v>
      </c>
      <c r="O7" s="44"/>
      <c r="P7" s="44"/>
      <c r="Q7" s="14"/>
    </row>
    <row r="8" spans="1:17" s="20" customFormat="1" ht="13.8" x14ac:dyDescent="0.3">
      <c r="A8" s="14">
        <v>2</v>
      </c>
      <c r="B8" s="21" t="s">
        <v>155</v>
      </c>
      <c r="C8" s="16" t="s">
        <v>38</v>
      </c>
      <c r="D8" s="22" t="s">
        <v>39</v>
      </c>
      <c r="E8" s="14" t="s">
        <v>32</v>
      </c>
      <c r="F8" s="18" t="s">
        <v>33</v>
      </c>
      <c r="G8" s="16" t="s">
        <v>40</v>
      </c>
      <c r="H8" s="19">
        <v>46135</v>
      </c>
      <c r="I8" s="14">
        <f>IF(H8="",0,$K$4-H8+1)</f>
        <v>9</v>
      </c>
      <c r="J8" s="14" t="s">
        <v>35</v>
      </c>
      <c r="K8" s="14"/>
      <c r="L8" s="14" t="s">
        <v>36</v>
      </c>
      <c r="M8" s="14"/>
      <c r="N8" s="14" t="s">
        <v>31</v>
      </c>
      <c r="O8" s="14"/>
      <c r="P8" s="14"/>
      <c r="Q8" s="14"/>
    </row>
    <row r="9" spans="1:17" s="20" customFormat="1" ht="13.8" x14ac:dyDescent="0.3">
      <c r="A9" s="14">
        <v>3</v>
      </c>
      <c r="B9" s="15" t="s">
        <v>41</v>
      </c>
      <c r="C9" s="16" t="s">
        <v>42</v>
      </c>
      <c r="D9" s="17" t="s">
        <v>31</v>
      </c>
      <c r="E9" s="14" t="s">
        <v>32</v>
      </c>
      <c r="F9" s="18" t="s">
        <v>43</v>
      </c>
      <c r="G9" s="23" t="s">
        <v>44</v>
      </c>
      <c r="H9" s="19">
        <v>46138</v>
      </c>
      <c r="I9" s="14">
        <f>IF(H9="",0,$K$4-H9+1)</f>
        <v>6</v>
      </c>
      <c r="J9" s="14" t="s">
        <v>35</v>
      </c>
      <c r="K9" s="14"/>
      <c r="L9" s="14" t="s">
        <v>36</v>
      </c>
      <c r="M9" s="14" t="s">
        <v>37</v>
      </c>
      <c r="N9" s="14"/>
      <c r="O9" s="14"/>
      <c r="P9" s="14"/>
      <c r="Q9" s="14"/>
    </row>
    <row r="10" spans="1:17" s="8" customFormat="1" ht="13.8" x14ac:dyDescent="0.3">
      <c r="A10" s="13"/>
      <c r="B10" s="13" t="s">
        <v>46</v>
      </c>
      <c r="C10" s="13"/>
      <c r="D10" s="24"/>
      <c r="E10" s="13" t="s">
        <v>32</v>
      </c>
      <c r="F10" s="25"/>
      <c r="G10" s="25"/>
      <c r="H10" s="10">
        <f>COUNT(#REF!)</f>
        <v>0</v>
      </c>
      <c r="I10" s="13"/>
      <c r="J10" s="26"/>
      <c r="K10" s="27"/>
      <c r="L10" s="2">
        <f>COUNTA(#REF!)</f>
        <v>1</v>
      </c>
      <c r="M10" s="2">
        <f>COUNTA(#REF!)</f>
        <v>1</v>
      </c>
      <c r="N10" s="2">
        <f>COUNTA(#REF!)</f>
        <v>1</v>
      </c>
      <c r="O10" s="13">
        <f>COUNTA(O11:O11)</f>
        <v>0</v>
      </c>
      <c r="P10" s="13">
        <f>COUNTA(P11:P11)</f>
        <v>0</v>
      </c>
      <c r="Q10" s="13"/>
    </row>
    <row r="11" spans="1:17" s="8" customFormat="1" ht="13.8" x14ac:dyDescent="0.3">
      <c r="A11" s="138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40"/>
    </row>
    <row r="12" spans="1:17" s="8" customFormat="1" ht="13.8" x14ac:dyDescent="0.3">
      <c r="A12" s="30"/>
      <c r="B12" s="30" t="s">
        <v>47</v>
      </c>
      <c r="C12" s="30"/>
      <c r="D12" s="31"/>
      <c r="E12" s="30" t="s">
        <v>32</v>
      </c>
      <c r="F12" s="32"/>
      <c r="G12" s="32"/>
      <c r="H12" s="10">
        <f>COUNT(A13:A13)</f>
        <v>1</v>
      </c>
      <c r="I12" s="30"/>
      <c r="J12" s="33"/>
      <c r="K12" s="34"/>
      <c r="L12" s="2">
        <f>COUNTA(L13:L13)</f>
        <v>0</v>
      </c>
      <c r="M12" s="2">
        <f t="shared" ref="M12:N12" si="0">COUNTA(M13:M13)</f>
        <v>1</v>
      </c>
      <c r="N12" s="2">
        <f t="shared" si="0"/>
        <v>1</v>
      </c>
      <c r="O12" s="30">
        <v>0</v>
      </c>
      <c r="P12" s="30">
        <v>0</v>
      </c>
      <c r="Q12" s="30"/>
    </row>
    <row r="13" spans="1:17" s="8" customFormat="1" ht="13.8" x14ac:dyDescent="0.3">
      <c r="A13" s="14">
        <v>1</v>
      </c>
      <c r="B13" s="14" t="s">
        <v>156</v>
      </c>
      <c r="C13" s="14" t="s">
        <v>157</v>
      </c>
      <c r="D13" s="42" t="s">
        <v>54</v>
      </c>
      <c r="E13" s="14" t="s">
        <v>158</v>
      </c>
      <c r="F13" s="18" t="s">
        <v>33</v>
      </c>
      <c r="G13" s="23" t="s">
        <v>159</v>
      </c>
      <c r="H13" s="19">
        <v>46140</v>
      </c>
      <c r="I13" s="14">
        <f>IF(H13="",0,$K$4-H13+1)</f>
        <v>4</v>
      </c>
      <c r="J13" s="14" t="s">
        <v>35</v>
      </c>
      <c r="K13" s="54"/>
      <c r="L13" s="14"/>
      <c r="M13" s="14" t="s">
        <v>37</v>
      </c>
      <c r="N13" s="14" t="s">
        <v>31</v>
      </c>
      <c r="O13" s="14"/>
      <c r="P13" s="14"/>
      <c r="Q13" s="14"/>
    </row>
    <row r="14" spans="1:17" s="8" customFormat="1" ht="13.8" x14ac:dyDescent="0.3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40"/>
    </row>
    <row r="15" spans="1:17" s="8" customFormat="1" ht="13.8" x14ac:dyDescent="0.3">
      <c r="A15" s="35"/>
      <c r="B15" s="35" t="s">
        <v>48</v>
      </c>
      <c r="C15" s="35"/>
      <c r="D15" s="35"/>
      <c r="E15" s="35" t="s">
        <v>29</v>
      </c>
      <c r="F15" s="36" t="s">
        <v>49</v>
      </c>
      <c r="G15" s="36"/>
      <c r="H15" s="87">
        <f>COUNT(#REF!)</f>
        <v>0</v>
      </c>
      <c r="I15" s="35"/>
      <c r="J15" s="35"/>
      <c r="K15" s="37"/>
      <c r="L15" s="88">
        <f>COUNTA(#REF!)</f>
        <v>1</v>
      </c>
      <c r="M15" s="88">
        <f>COUNTA(#REF!)</f>
        <v>1</v>
      </c>
      <c r="N15" s="88">
        <f>COUNTA(#REF!)</f>
        <v>1</v>
      </c>
      <c r="O15" s="35">
        <f>COUNTA(O16:O16)</f>
        <v>0</v>
      </c>
      <c r="P15" s="35">
        <f>COUNTA(P16:P16)</f>
        <v>0</v>
      </c>
      <c r="Q15" s="35"/>
    </row>
    <row r="16" spans="1:17" s="8" customFormat="1" ht="13.8" x14ac:dyDescent="0.3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</row>
    <row r="17" spans="1:17" s="8" customFormat="1" ht="13.8" x14ac:dyDescent="0.3">
      <c r="A17" s="13"/>
      <c r="B17" s="13" t="s">
        <v>50</v>
      </c>
      <c r="C17" s="13"/>
      <c r="D17" s="13"/>
      <c r="E17" s="13" t="s">
        <v>51</v>
      </c>
      <c r="F17" s="25" t="s">
        <v>49</v>
      </c>
      <c r="G17" s="25"/>
      <c r="H17" s="38">
        <f>COUNT(A18:A23)</f>
        <v>6</v>
      </c>
      <c r="I17" s="13"/>
      <c r="J17" s="26"/>
      <c r="K17" s="27"/>
      <c r="L17" s="13">
        <f>COUNTA(L18:L24)</f>
        <v>6</v>
      </c>
      <c r="M17" s="13">
        <f>COUNTA(M18:M24)</f>
        <v>6</v>
      </c>
      <c r="N17" s="13">
        <f>COUNTA(N18:N24)</f>
        <v>6</v>
      </c>
      <c r="O17" s="13">
        <f>COUNTA(O18:O23)</f>
        <v>0</v>
      </c>
      <c r="P17" s="13">
        <f>COUNTA(P18:P23)</f>
        <v>0</v>
      </c>
      <c r="Q17" s="13"/>
    </row>
    <row r="18" spans="1:17" s="8" customFormat="1" ht="13.8" x14ac:dyDescent="0.3">
      <c r="A18" s="16">
        <v>1</v>
      </c>
      <c r="B18" s="39" t="s">
        <v>52</v>
      </c>
      <c r="C18" s="14" t="s">
        <v>53</v>
      </c>
      <c r="D18" s="40" t="s">
        <v>54</v>
      </c>
      <c r="E18" s="16" t="s">
        <v>51</v>
      </c>
      <c r="F18" s="18" t="s">
        <v>33</v>
      </c>
      <c r="G18" s="23" t="s">
        <v>55</v>
      </c>
      <c r="H18" s="19">
        <v>46128</v>
      </c>
      <c r="I18" s="14">
        <f t="shared" ref="I18:I23" si="1">IF(H18="",0,$K$4-H18+1)</f>
        <v>16</v>
      </c>
      <c r="J18" s="41" t="s">
        <v>35</v>
      </c>
      <c r="K18" s="14"/>
      <c r="L18" s="14" t="s">
        <v>36</v>
      </c>
      <c r="M18" s="14" t="s">
        <v>37</v>
      </c>
      <c r="N18" s="14" t="s">
        <v>31</v>
      </c>
      <c r="O18" s="14"/>
      <c r="P18" s="14"/>
      <c r="Q18" s="14"/>
    </row>
    <row r="19" spans="1:17" s="8" customFormat="1" ht="13.8" x14ac:dyDescent="0.3">
      <c r="A19" s="16">
        <v>2</v>
      </c>
      <c r="B19" s="39" t="s">
        <v>56</v>
      </c>
      <c r="C19" s="14" t="s">
        <v>57</v>
      </c>
      <c r="D19" s="40" t="s">
        <v>54</v>
      </c>
      <c r="E19" s="16" t="s">
        <v>51</v>
      </c>
      <c r="F19" s="18" t="s">
        <v>33</v>
      </c>
      <c r="G19" s="23" t="s">
        <v>55</v>
      </c>
      <c r="H19" s="19">
        <v>46129</v>
      </c>
      <c r="I19" s="14">
        <f t="shared" si="1"/>
        <v>15</v>
      </c>
      <c r="J19" s="41" t="s">
        <v>35</v>
      </c>
      <c r="K19" s="14"/>
      <c r="L19" s="14" t="s">
        <v>36</v>
      </c>
      <c r="M19" s="14" t="s">
        <v>37</v>
      </c>
      <c r="N19" s="14" t="s">
        <v>31</v>
      </c>
      <c r="O19" s="14"/>
      <c r="P19" s="14"/>
      <c r="Q19" s="14"/>
    </row>
    <row r="20" spans="1:17" s="8" customFormat="1" ht="13.8" x14ac:dyDescent="0.3">
      <c r="A20" s="16">
        <v>3</v>
      </c>
      <c r="B20" s="39" t="s">
        <v>178</v>
      </c>
      <c r="C20" s="42" t="s">
        <v>179</v>
      </c>
      <c r="D20" s="40" t="s">
        <v>54</v>
      </c>
      <c r="E20" s="16" t="s">
        <v>58</v>
      </c>
      <c r="F20" s="16" t="s">
        <v>59</v>
      </c>
      <c r="G20" s="23" t="s">
        <v>44</v>
      </c>
      <c r="H20" s="19">
        <v>46143</v>
      </c>
      <c r="I20" s="14">
        <f t="shared" si="1"/>
        <v>1</v>
      </c>
      <c r="J20" s="41" t="s">
        <v>35</v>
      </c>
      <c r="K20" s="14"/>
      <c r="L20" s="14" t="s">
        <v>36</v>
      </c>
      <c r="M20" s="14" t="s">
        <v>37</v>
      </c>
      <c r="N20" s="14" t="s">
        <v>31</v>
      </c>
      <c r="O20" s="14"/>
      <c r="P20" s="14"/>
      <c r="Q20" s="14"/>
    </row>
    <row r="21" spans="1:17" s="8" customFormat="1" ht="13.8" x14ac:dyDescent="0.3">
      <c r="A21" s="16">
        <v>4</v>
      </c>
      <c r="B21" s="39" t="s">
        <v>218</v>
      </c>
      <c r="C21" s="42" t="s">
        <v>60</v>
      </c>
      <c r="D21" s="40" t="s">
        <v>54</v>
      </c>
      <c r="E21" s="16" t="s">
        <v>58</v>
      </c>
      <c r="F21" s="16" t="s">
        <v>59</v>
      </c>
      <c r="G21" s="23" t="s">
        <v>44</v>
      </c>
      <c r="H21" s="19">
        <v>46143</v>
      </c>
      <c r="I21" s="14">
        <f t="shared" si="1"/>
        <v>1</v>
      </c>
      <c r="J21" s="41" t="s">
        <v>35</v>
      </c>
      <c r="K21" s="14"/>
      <c r="L21" s="14" t="s">
        <v>36</v>
      </c>
      <c r="M21" s="14" t="s">
        <v>37</v>
      </c>
      <c r="N21" s="14" t="s">
        <v>31</v>
      </c>
      <c r="O21" s="14"/>
      <c r="P21" s="14"/>
      <c r="Q21" s="43"/>
    </row>
    <row r="22" spans="1:17" s="8" customFormat="1" ht="13.8" x14ac:dyDescent="0.3">
      <c r="A22" s="16">
        <v>5</v>
      </c>
      <c r="B22" s="39" t="s">
        <v>61</v>
      </c>
      <c r="C22" s="42" t="s">
        <v>62</v>
      </c>
      <c r="D22" s="40" t="s">
        <v>54</v>
      </c>
      <c r="E22" s="16" t="s">
        <v>58</v>
      </c>
      <c r="F22" s="16" t="s">
        <v>59</v>
      </c>
      <c r="G22" s="23" t="s">
        <v>44</v>
      </c>
      <c r="H22" s="19">
        <v>46135</v>
      </c>
      <c r="I22" s="14">
        <f t="shared" si="1"/>
        <v>9</v>
      </c>
      <c r="J22" s="41" t="s">
        <v>35</v>
      </c>
      <c r="K22" s="14"/>
      <c r="L22" s="14" t="s">
        <v>36</v>
      </c>
      <c r="M22" s="14" t="s">
        <v>37</v>
      </c>
      <c r="N22" s="14" t="s">
        <v>31</v>
      </c>
      <c r="O22" s="14"/>
      <c r="P22" s="44"/>
      <c r="Q22" s="45"/>
    </row>
    <row r="23" spans="1:17" s="8" customFormat="1" ht="13.8" x14ac:dyDescent="0.3">
      <c r="A23" s="16">
        <v>6</v>
      </c>
      <c r="B23" s="39" t="s">
        <v>160</v>
      </c>
      <c r="C23" s="42" t="s">
        <v>63</v>
      </c>
      <c r="D23" s="40" t="s">
        <v>54</v>
      </c>
      <c r="E23" s="16" t="s">
        <v>58</v>
      </c>
      <c r="F23" s="18" t="s">
        <v>33</v>
      </c>
      <c r="G23" s="23" t="s">
        <v>64</v>
      </c>
      <c r="H23" s="19">
        <v>46134</v>
      </c>
      <c r="I23" s="14">
        <f t="shared" si="1"/>
        <v>10</v>
      </c>
      <c r="J23" s="41" t="s">
        <v>35</v>
      </c>
      <c r="K23" s="14"/>
      <c r="L23" s="14" t="s">
        <v>36</v>
      </c>
      <c r="M23" s="14" t="s">
        <v>37</v>
      </c>
      <c r="N23" s="14" t="s">
        <v>31</v>
      </c>
      <c r="O23" s="14"/>
      <c r="P23" s="44"/>
      <c r="Q23" s="45"/>
    </row>
    <row r="24" spans="1:17" s="8" customFormat="1" ht="15" customHeight="1" x14ac:dyDescent="0.3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</row>
    <row r="25" spans="1:17" s="47" customFormat="1" ht="12.75" customHeight="1" x14ac:dyDescent="0.3">
      <c r="A25" s="13"/>
      <c r="B25" s="13" t="s">
        <v>65</v>
      </c>
      <c r="C25" s="13"/>
      <c r="D25" s="13"/>
      <c r="E25" s="13" t="s">
        <v>51</v>
      </c>
      <c r="F25" s="25"/>
      <c r="G25" s="25"/>
      <c r="H25" s="38">
        <f>COUNT(A26:A39)</f>
        <v>14</v>
      </c>
      <c r="I25" s="13"/>
      <c r="J25" s="46"/>
      <c r="K25" s="13"/>
      <c r="L25" s="13">
        <f>COUNTA(L26:L39)</f>
        <v>14</v>
      </c>
      <c r="M25" s="13">
        <f>COUNTA(M26:M39)</f>
        <v>14</v>
      </c>
      <c r="N25" s="13">
        <f>COUNTA(N26:N39)</f>
        <v>14</v>
      </c>
      <c r="O25" s="13">
        <f>COUNTA(O26:O39)</f>
        <v>0</v>
      </c>
      <c r="P25" s="13">
        <f>COUNTA(P26:P39)</f>
        <v>0</v>
      </c>
      <c r="Q25" s="13"/>
    </row>
    <row r="26" spans="1:17" s="47" customFormat="1" ht="12.75" customHeight="1" x14ac:dyDescent="0.3">
      <c r="A26" s="14">
        <v>1</v>
      </c>
      <c r="B26" s="14" t="s">
        <v>161</v>
      </c>
      <c r="C26" s="48" t="s">
        <v>66</v>
      </c>
      <c r="D26" s="17" t="s">
        <v>31</v>
      </c>
      <c r="E26" s="14" t="s">
        <v>51</v>
      </c>
      <c r="F26" s="18" t="s">
        <v>33</v>
      </c>
      <c r="G26" s="16" t="s">
        <v>67</v>
      </c>
      <c r="H26" s="19">
        <v>46135</v>
      </c>
      <c r="I26" s="14">
        <f t="shared" ref="I26:I39" si="2">IF(H26="",0,$K$4-H26+1)</f>
        <v>9</v>
      </c>
      <c r="J26" s="14" t="s">
        <v>35</v>
      </c>
      <c r="K26" s="14"/>
      <c r="L26" s="14" t="s">
        <v>36</v>
      </c>
      <c r="M26" s="14" t="s">
        <v>37</v>
      </c>
      <c r="N26" s="14" t="s">
        <v>31</v>
      </c>
      <c r="O26" s="14"/>
      <c r="P26" s="14"/>
      <c r="Q26" s="14"/>
    </row>
    <row r="27" spans="1:17" s="47" customFormat="1" ht="12.75" customHeight="1" x14ac:dyDescent="0.3">
      <c r="A27" s="14">
        <v>2</v>
      </c>
      <c r="B27" s="48" t="s">
        <v>87</v>
      </c>
      <c r="C27" s="48" t="s">
        <v>68</v>
      </c>
      <c r="D27" s="17" t="s">
        <v>31</v>
      </c>
      <c r="E27" s="14" t="s">
        <v>58</v>
      </c>
      <c r="F27" s="16" t="s">
        <v>59</v>
      </c>
      <c r="G27" s="23" t="s">
        <v>44</v>
      </c>
      <c r="H27" s="19">
        <v>46128</v>
      </c>
      <c r="I27" s="14">
        <f t="shared" si="2"/>
        <v>16</v>
      </c>
      <c r="J27" s="14" t="s">
        <v>35</v>
      </c>
      <c r="K27" s="14"/>
      <c r="L27" s="14" t="s">
        <v>36</v>
      </c>
      <c r="M27" s="14" t="s">
        <v>37</v>
      </c>
      <c r="N27" s="14" t="s">
        <v>31</v>
      </c>
      <c r="O27" s="16"/>
      <c r="P27" s="16"/>
      <c r="Q27" s="16"/>
    </row>
    <row r="28" spans="1:17" s="47" customFormat="1" ht="12.75" customHeight="1" x14ac:dyDescent="0.3">
      <c r="A28" s="14">
        <v>3</v>
      </c>
      <c r="B28" s="48" t="s">
        <v>162</v>
      </c>
      <c r="C28" s="48" t="s">
        <v>70</v>
      </c>
      <c r="D28" s="17" t="s">
        <v>31</v>
      </c>
      <c r="E28" s="14" t="s">
        <v>58</v>
      </c>
      <c r="F28" s="16" t="s">
        <v>59</v>
      </c>
      <c r="G28" s="23" t="s">
        <v>44</v>
      </c>
      <c r="H28" s="19">
        <v>46138</v>
      </c>
      <c r="I28" s="14">
        <f t="shared" si="2"/>
        <v>6</v>
      </c>
      <c r="J28" s="14" t="s">
        <v>35</v>
      </c>
      <c r="K28" s="14"/>
      <c r="L28" s="14" t="s">
        <v>36</v>
      </c>
      <c r="M28" s="14" t="s">
        <v>37</v>
      </c>
      <c r="N28" s="14" t="s">
        <v>31</v>
      </c>
      <c r="O28" s="16"/>
      <c r="P28" s="16"/>
      <c r="Q28" s="49"/>
    </row>
    <row r="29" spans="1:17" s="47" customFormat="1" ht="12.75" customHeight="1" x14ac:dyDescent="0.3">
      <c r="A29" s="14">
        <v>4</v>
      </c>
      <c r="B29" s="48" t="s">
        <v>163</v>
      </c>
      <c r="C29" s="48" t="s">
        <v>72</v>
      </c>
      <c r="D29" s="17" t="s">
        <v>31</v>
      </c>
      <c r="E29" s="14" t="s">
        <v>58</v>
      </c>
      <c r="F29" s="16" t="s">
        <v>59</v>
      </c>
      <c r="G29" s="23" t="s">
        <v>44</v>
      </c>
      <c r="H29" s="19">
        <v>46135</v>
      </c>
      <c r="I29" s="14">
        <f t="shared" si="2"/>
        <v>9</v>
      </c>
      <c r="J29" s="14" t="s">
        <v>35</v>
      </c>
      <c r="K29" s="14"/>
      <c r="L29" s="14" t="s">
        <v>36</v>
      </c>
      <c r="M29" s="14" t="s">
        <v>37</v>
      </c>
      <c r="N29" s="14" t="s">
        <v>31</v>
      </c>
      <c r="O29" s="16"/>
      <c r="P29" s="16"/>
      <c r="Q29" s="49"/>
    </row>
    <row r="30" spans="1:17" s="47" customFormat="1" ht="12.75" customHeight="1" x14ac:dyDescent="0.3">
      <c r="A30" s="14">
        <v>5</v>
      </c>
      <c r="B30" s="48" t="s">
        <v>164</v>
      </c>
      <c r="C30" s="48" t="s">
        <v>74</v>
      </c>
      <c r="D30" s="17" t="s">
        <v>31</v>
      </c>
      <c r="E30" s="14" t="s">
        <v>58</v>
      </c>
      <c r="F30" s="16" t="s">
        <v>59</v>
      </c>
      <c r="G30" s="23" t="s">
        <v>44</v>
      </c>
      <c r="H30" s="19">
        <v>46138</v>
      </c>
      <c r="I30" s="14">
        <f t="shared" si="2"/>
        <v>6</v>
      </c>
      <c r="J30" s="14" t="s">
        <v>35</v>
      </c>
      <c r="K30" s="50"/>
      <c r="L30" s="14" t="s">
        <v>36</v>
      </c>
      <c r="M30" s="14" t="s">
        <v>37</v>
      </c>
      <c r="N30" s="14" t="s">
        <v>31</v>
      </c>
      <c r="O30" s="16"/>
      <c r="P30" s="16"/>
      <c r="Q30" s="16"/>
    </row>
    <row r="31" spans="1:17" s="47" customFormat="1" ht="12.75" customHeight="1" x14ac:dyDescent="0.3">
      <c r="A31" s="14">
        <v>6</v>
      </c>
      <c r="B31" s="48" t="s">
        <v>165</v>
      </c>
      <c r="C31" s="48" t="s">
        <v>74</v>
      </c>
      <c r="D31" s="17" t="s">
        <v>31</v>
      </c>
      <c r="E31" s="14" t="s">
        <v>58</v>
      </c>
      <c r="F31" s="16" t="s">
        <v>59</v>
      </c>
      <c r="G31" s="23" t="s">
        <v>44</v>
      </c>
      <c r="H31" s="19">
        <v>46138</v>
      </c>
      <c r="I31" s="14">
        <f t="shared" si="2"/>
        <v>6</v>
      </c>
      <c r="J31" s="14" t="s">
        <v>35</v>
      </c>
      <c r="K31" s="50"/>
      <c r="L31" s="14" t="s">
        <v>36</v>
      </c>
      <c r="M31" s="14" t="s">
        <v>37</v>
      </c>
      <c r="N31" s="14" t="s">
        <v>31</v>
      </c>
      <c r="O31" s="16"/>
      <c r="P31" s="16"/>
      <c r="Q31" s="16"/>
    </row>
    <row r="32" spans="1:17" s="47" customFormat="1" ht="12.75" customHeight="1" x14ac:dyDescent="0.3">
      <c r="A32" s="14">
        <v>7</v>
      </c>
      <c r="B32" s="48" t="s">
        <v>166</v>
      </c>
      <c r="C32" s="48" t="s">
        <v>74</v>
      </c>
      <c r="D32" s="17" t="s">
        <v>31</v>
      </c>
      <c r="E32" s="14" t="s">
        <v>58</v>
      </c>
      <c r="F32" s="16" t="s">
        <v>59</v>
      </c>
      <c r="G32" s="23" t="s">
        <v>44</v>
      </c>
      <c r="H32" s="19">
        <v>46138</v>
      </c>
      <c r="I32" s="14">
        <f t="shared" si="2"/>
        <v>6</v>
      </c>
      <c r="J32" s="14" t="s">
        <v>35</v>
      </c>
      <c r="K32" s="50"/>
      <c r="L32" s="14" t="s">
        <v>36</v>
      </c>
      <c r="M32" s="14" t="s">
        <v>37</v>
      </c>
      <c r="N32" s="14" t="s">
        <v>31</v>
      </c>
      <c r="O32" s="16"/>
      <c r="P32" s="16"/>
      <c r="Q32" s="16"/>
    </row>
    <row r="33" spans="1:17" s="47" customFormat="1" ht="12.75" customHeight="1" x14ac:dyDescent="0.3">
      <c r="A33" s="14">
        <v>8</v>
      </c>
      <c r="B33" s="48" t="s">
        <v>77</v>
      </c>
      <c r="C33" s="48" t="s">
        <v>74</v>
      </c>
      <c r="D33" s="17" t="s">
        <v>31</v>
      </c>
      <c r="E33" s="14" t="s">
        <v>58</v>
      </c>
      <c r="F33" s="16" t="s">
        <v>59</v>
      </c>
      <c r="G33" s="23" t="s">
        <v>44</v>
      </c>
      <c r="H33" s="19">
        <v>46132</v>
      </c>
      <c r="I33" s="14">
        <f t="shared" si="2"/>
        <v>12</v>
      </c>
      <c r="J33" s="14" t="s">
        <v>35</v>
      </c>
      <c r="K33" s="50"/>
      <c r="L33" s="14" t="s">
        <v>36</v>
      </c>
      <c r="M33" s="14" t="s">
        <v>37</v>
      </c>
      <c r="N33" s="14" t="s">
        <v>31</v>
      </c>
      <c r="O33" s="16"/>
      <c r="P33" s="16"/>
      <c r="Q33" s="16"/>
    </row>
    <row r="34" spans="1:17" s="47" customFormat="1" ht="12.75" customHeight="1" x14ac:dyDescent="0.3">
      <c r="A34" s="14">
        <v>9</v>
      </c>
      <c r="B34" s="48" t="s">
        <v>167</v>
      </c>
      <c r="C34" s="48" t="s">
        <v>79</v>
      </c>
      <c r="D34" s="17" t="s">
        <v>31</v>
      </c>
      <c r="E34" s="14" t="s">
        <v>58</v>
      </c>
      <c r="F34" s="16" t="s">
        <v>59</v>
      </c>
      <c r="G34" s="23" t="s">
        <v>44</v>
      </c>
      <c r="H34" s="19">
        <v>46138</v>
      </c>
      <c r="I34" s="14">
        <f t="shared" si="2"/>
        <v>6</v>
      </c>
      <c r="J34" s="14" t="s">
        <v>35</v>
      </c>
      <c r="K34" s="14"/>
      <c r="L34" s="14" t="s">
        <v>36</v>
      </c>
      <c r="M34" s="14" t="s">
        <v>37</v>
      </c>
      <c r="N34" s="14" t="s">
        <v>31</v>
      </c>
      <c r="O34" s="16"/>
      <c r="P34" s="16"/>
      <c r="Q34" s="16"/>
    </row>
    <row r="35" spans="1:17" s="47" customFormat="1" ht="12.75" customHeight="1" x14ac:dyDescent="0.3">
      <c r="A35" s="14">
        <v>10</v>
      </c>
      <c r="B35" s="48" t="s">
        <v>168</v>
      </c>
      <c r="C35" s="48" t="s">
        <v>79</v>
      </c>
      <c r="D35" s="17" t="s">
        <v>31</v>
      </c>
      <c r="E35" s="14" t="s">
        <v>58</v>
      </c>
      <c r="F35" s="16" t="s">
        <v>59</v>
      </c>
      <c r="G35" s="23" t="s">
        <v>44</v>
      </c>
      <c r="H35" s="19">
        <v>46140</v>
      </c>
      <c r="I35" s="14">
        <f t="shared" si="2"/>
        <v>4</v>
      </c>
      <c r="J35" s="14" t="s">
        <v>35</v>
      </c>
      <c r="K35" s="14"/>
      <c r="L35" s="14" t="s">
        <v>36</v>
      </c>
      <c r="M35" s="14" t="s">
        <v>37</v>
      </c>
      <c r="N35" s="14" t="s">
        <v>31</v>
      </c>
      <c r="O35" s="16"/>
      <c r="P35" s="16"/>
      <c r="Q35" s="16"/>
    </row>
    <row r="36" spans="1:17" s="47" customFormat="1" ht="12.75" customHeight="1" x14ac:dyDescent="0.3">
      <c r="A36" s="14">
        <v>11</v>
      </c>
      <c r="B36" s="48" t="s">
        <v>71</v>
      </c>
      <c r="C36" s="48" t="s">
        <v>79</v>
      </c>
      <c r="D36" s="17" t="s">
        <v>31</v>
      </c>
      <c r="E36" s="14" t="s">
        <v>58</v>
      </c>
      <c r="F36" s="16" t="s">
        <v>59</v>
      </c>
      <c r="G36" s="23" t="s">
        <v>44</v>
      </c>
      <c r="H36" s="19">
        <v>46139</v>
      </c>
      <c r="I36" s="14">
        <f t="shared" si="2"/>
        <v>5</v>
      </c>
      <c r="J36" s="14" t="s">
        <v>35</v>
      </c>
      <c r="K36" s="14"/>
      <c r="L36" s="14" t="s">
        <v>36</v>
      </c>
      <c r="M36" s="14" t="s">
        <v>37</v>
      </c>
      <c r="N36" s="14" t="s">
        <v>31</v>
      </c>
      <c r="O36" s="16"/>
      <c r="P36" s="16"/>
      <c r="Q36" s="16"/>
    </row>
    <row r="37" spans="1:17" s="47" customFormat="1" ht="12.75" customHeight="1" x14ac:dyDescent="0.3">
      <c r="A37" s="14">
        <v>11</v>
      </c>
      <c r="B37" s="48" t="s">
        <v>217</v>
      </c>
      <c r="C37" s="48" t="s">
        <v>79</v>
      </c>
      <c r="D37" s="17" t="s">
        <v>31</v>
      </c>
      <c r="E37" s="14" t="s">
        <v>58</v>
      </c>
      <c r="F37" s="16" t="s">
        <v>59</v>
      </c>
      <c r="G37" s="23" t="s">
        <v>44</v>
      </c>
      <c r="H37" s="19">
        <v>46143</v>
      </c>
      <c r="I37" s="14">
        <f t="shared" si="2"/>
        <v>1</v>
      </c>
      <c r="J37" s="14" t="s">
        <v>35</v>
      </c>
      <c r="K37" s="14"/>
      <c r="L37" s="14" t="s">
        <v>36</v>
      </c>
      <c r="M37" s="14" t="s">
        <v>37</v>
      </c>
      <c r="N37" s="14" t="s">
        <v>31</v>
      </c>
      <c r="O37" s="16"/>
      <c r="P37" s="16"/>
      <c r="Q37" s="16"/>
    </row>
    <row r="38" spans="1:17" s="47" customFormat="1" ht="12.75" customHeight="1" x14ac:dyDescent="0.3">
      <c r="A38" s="14">
        <v>13</v>
      </c>
      <c r="B38" s="48" t="s">
        <v>81</v>
      </c>
      <c r="C38" s="51" t="s">
        <v>82</v>
      </c>
      <c r="D38" s="17" t="s">
        <v>31</v>
      </c>
      <c r="E38" s="14" t="s">
        <v>58</v>
      </c>
      <c r="F38" s="16" t="s">
        <v>59</v>
      </c>
      <c r="G38" s="23" t="s">
        <v>44</v>
      </c>
      <c r="H38" s="19">
        <v>46128</v>
      </c>
      <c r="I38" s="14">
        <f t="shared" si="2"/>
        <v>16</v>
      </c>
      <c r="J38" s="14" t="s">
        <v>35</v>
      </c>
      <c r="K38" s="14"/>
      <c r="L38" s="14" t="s">
        <v>36</v>
      </c>
      <c r="M38" s="14" t="s">
        <v>37</v>
      </c>
      <c r="N38" s="14" t="s">
        <v>31</v>
      </c>
      <c r="O38" s="16"/>
      <c r="P38" s="16"/>
      <c r="Q38" s="16"/>
    </row>
    <row r="39" spans="1:17" s="47" customFormat="1" ht="12.75" customHeight="1" x14ac:dyDescent="0.3">
      <c r="A39" s="14">
        <v>14</v>
      </c>
      <c r="B39" s="48" t="s">
        <v>169</v>
      </c>
      <c r="C39" s="51" t="s">
        <v>84</v>
      </c>
      <c r="D39" s="17" t="s">
        <v>31</v>
      </c>
      <c r="E39" s="14" t="s">
        <v>58</v>
      </c>
      <c r="F39" s="16" t="s">
        <v>59</v>
      </c>
      <c r="G39" s="23" t="s">
        <v>44</v>
      </c>
      <c r="H39" s="19">
        <v>46140</v>
      </c>
      <c r="I39" s="14">
        <f t="shared" si="2"/>
        <v>4</v>
      </c>
      <c r="J39" s="14" t="s">
        <v>35</v>
      </c>
      <c r="K39" s="14"/>
      <c r="L39" s="14" t="s">
        <v>36</v>
      </c>
      <c r="M39" s="14" t="s">
        <v>37</v>
      </c>
      <c r="N39" s="14" t="s">
        <v>31</v>
      </c>
      <c r="O39" s="16"/>
      <c r="P39" s="16"/>
      <c r="Q39" s="16"/>
    </row>
    <row r="40" spans="1:17" s="8" customFormat="1" ht="13.8" x14ac:dyDescent="0.3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</row>
    <row r="41" spans="1:17" s="8" customFormat="1" ht="13.8" x14ac:dyDescent="0.3">
      <c r="A41" s="13"/>
      <c r="B41" s="13" t="s">
        <v>85</v>
      </c>
      <c r="C41" s="13" t="s">
        <v>49</v>
      </c>
      <c r="D41" s="13"/>
      <c r="E41" s="13" t="s">
        <v>51</v>
      </c>
      <c r="F41" s="25" t="s">
        <v>49</v>
      </c>
      <c r="G41" s="25"/>
      <c r="H41" s="38">
        <f>COUNT(A41:A55)</f>
        <v>14</v>
      </c>
      <c r="I41" s="13"/>
      <c r="J41" s="26"/>
      <c r="K41" s="27"/>
      <c r="L41" s="13">
        <f>COUNTA(L42:L55)</f>
        <v>14</v>
      </c>
      <c r="M41" s="13">
        <f>COUNTA(M42:M55)</f>
        <v>14</v>
      </c>
      <c r="N41" s="13">
        <f>COUNTA(N42:N55)</f>
        <v>14</v>
      </c>
      <c r="O41" s="13">
        <f>COUNTA(O42:O55)</f>
        <v>0</v>
      </c>
      <c r="P41" s="13">
        <f>COUNTA(P42:P55)</f>
        <v>0</v>
      </c>
      <c r="Q41" s="13"/>
    </row>
    <row r="42" spans="1:17" s="8" customFormat="1" ht="13.8" x14ac:dyDescent="0.3">
      <c r="A42" s="14">
        <v>1</v>
      </c>
      <c r="B42" s="52" t="s">
        <v>170</v>
      </c>
      <c r="C42" s="48" t="s">
        <v>86</v>
      </c>
      <c r="D42" s="22" t="s">
        <v>39</v>
      </c>
      <c r="E42" s="14" t="s">
        <v>58</v>
      </c>
      <c r="F42" s="16" t="s">
        <v>59</v>
      </c>
      <c r="G42" s="23" t="s">
        <v>44</v>
      </c>
      <c r="H42" s="19">
        <v>46137</v>
      </c>
      <c r="I42" s="14">
        <f t="shared" ref="I42:I51" si="3">IF(H42="",0,$K$4-H42+1)</f>
        <v>7</v>
      </c>
      <c r="J42" s="14" t="s">
        <v>35</v>
      </c>
      <c r="K42" s="14"/>
      <c r="L42" s="14" t="s">
        <v>36</v>
      </c>
      <c r="M42" s="14" t="s">
        <v>37</v>
      </c>
      <c r="N42" s="14" t="s">
        <v>31</v>
      </c>
      <c r="O42" s="14"/>
      <c r="P42" s="14"/>
      <c r="Q42" s="14"/>
    </row>
    <row r="43" spans="1:17" s="47" customFormat="1" ht="12.75" customHeight="1" x14ac:dyDescent="0.3">
      <c r="A43" s="14">
        <v>2</v>
      </c>
      <c r="B43" s="48" t="s">
        <v>171</v>
      </c>
      <c r="C43" s="48" t="s">
        <v>68</v>
      </c>
      <c r="D43" s="22" t="s">
        <v>39</v>
      </c>
      <c r="E43" s="14" t="s">
        <v>58</v>
      </c>
      <c r="F43" s="16" t="s">
        <v>59</v>
      </c>
      <c r="G43" s="23" t="s">
        <v>44</v>
      </c>
      <c r="H43" s="19">
        <v>46134</v>
      </c>
      <c r="I43" s="14">
        <f t="shared" si="3"/>
        <v>10</v>
      </c>
      <c r="J43" s="14" t="s">
        <v>35</v>
      </c>
      <c r="K43" s="14"/>
      <c r="L43" s="14" t="s">
        <v>36</v>
      </c>
      <c r="M43" s="14" t="s">
        <v>37</v>
      </c>
      <c r="N43" s="14" t="s">
        <v>31</v>
      </c>
      <c r="O43" s="16"/>
      <c r="P43" s="16"/>
      <c r="Q43" s="16"/>
    </row>
    <row r="44" spans="1:17" s="47" customFormat="1" ht="12.75" customHeight="1" x14ac:dyDescent="0.3">
      <c r="A44" s="14">
        <v>3</v>
      </c>
      <c r="B44" s="48" t="s">
        <v>69</v>
      </c>
      <c r="C44" s="48" t="s">
        <v>70</v>
      </c>
      <c r="D44" s="22" t="s">
        <v>39</v>
      </c>
      <c r="E44" s="14" t="s">
        <v>58</v>
      </c>
      <c r="F44" s="16" t="s">
        <v>59</v>
      </c>
      <c r="G44" s="23" t="s">
        <v>44</v>
      </c>
      <c r="H44" s="19">
        <v>46128</v>
      </c>
      <c r="I44" s="14">
        <f t="shared" si="3"/>
        <v>16</v>
      </c>
      <c r="J44" s="14" t="s">
        <v>35</v>
      </c>
      <c r="K44" s="14"/>
      <c r="L44" s="14" t="s">
        <v>36</v>
      </c>
      <c r="M44" s="14" t="s">
        <v>37</v>
      </c>
      <c r="N44" s="14" t="s">
        <v>31</v>
      </c>
      <c r="O44" s="16"/>
      <c r="P44" s="16"/>
      <c r="Q44" s="49"/>
    </row>
    <row r="45" spans="1:17" s="47" customFormat="1" ht="12.75" customHeight="1" x14ac:dyDescent="0.3">
      <c r="A45" s="14">
        <v>4</v>
      </c>
      <c r="B45" s="48" t="s">
        <v>71</v>
      </c>
      <c r="C45" s="48" t="s">
        <v>72</v>
      </c>
      <c r="D45" s="22" t="s">
        <v>39</v>
      </c>
      <c r="E45" s="14" t="s">
        <v>58</v>
      </c>
      <c r="F45" s="16" t="s">
        <v>59</v>
      </c>
      <c r="G45" s="23" t="s">
        <v>44</v>
      </c>
      <c r="H45" s="19">
        <v>46128</v>
      </c>
      <c r="I45" s="14">
        <f t="shared" si="3"/>
        <v>16</v>
      </c>
      <c r="J45" s="14" t="s">
        <v>35</v>
      </c>
      <c r="K45" s="14"/>
      <c r="L45" s="14" t="s">
        <v>36</v>
      </c>
      <c r="M45" s="14" t="s">
        <v>37</v>
      </c>
      <c r="N45" s="14" t="s">
        <v>31</v>
      </c>
      <c r="O45" s="16"/>
      <c r="P45" s="16"/>
      <c r="Q45" s="49"/>
    </row>
    <row r="46" spans="1:17" s="47" customFormat="1" ht="12.75" customHeight="1" x14ac:dyDescent="0.3">
      <c r="A46" s="14">
        <v>5</v>
      </c>
      <c r="B46" s="48" t="s">
        <v>73</v>
      </c>
      <c r="C46" s="48" t="s">
        <v>74</v>
      </c>
      <c r="D46" s="22" t="s">
        <v>39</v>
      </c>
      <c r="E46" s="14" t="s">
        <v>58</v>
      </c>
      <c r="F46" s="16" t="s">
        <v>59</v>
      </c>
      <c r="G46" s="23" t="s">
        <v>44</v>
      </c>
      <c r="H46" s="19">
        <v>46125</v>
      </c>
      <c r="I46" s="14">
        <f t="shared" si="3"/>
        <v>19</v>
      </c>
      <c r="J46" s="14" t="s">
        <v>35</v>
      </c>
      <c r="K46" s="50"/>
      <c r="L46" s="14" t="s">
        <v>36</v>
      </c>
      <c r="M46" s="14" t="s">
        <v>37</v>
      </c>
      <c r="N46" s="14" t="s">
        <v>31</v>
      </c>
      <c r="O46" s="16"/>
      <c r="P46" s="16"/>
      <c r="Q46" s="16"/>
    </row>
    <row r="47" spans="1:17" s="47" customFormat="1" ht="12.75" customHeight="1" x14ac:dyDescent="0.3">
      <c r="A47" s="14">
        <v>6</v>
      </c>
      <c r="B47" s="48" t="s">
        <v>75</v>
      </c>
      <c r="C47" s="48" t="s">
        <v>74</v>
      </c>
      <c r="D47" s="22" t="s">
        <v>39</v>
      </c>
      <c r="E47" s="14" t="s">
        <v>58</v>
      </c>
      <c r="F47" s="16" t="s">
        <v>59</v>
      </c>
      <c r="G47" s="23" t="s">
        <v>44</v>
      </c>
      <c r="H47" s="19">
        <v>46131</v>
      </c>
      <c r="I47" s="14">
        <f t="shared" si="3"/>
        <v>13</v>
      </c>
      <c r="J47" s="14" t="s">
        <v>35</v>
      </c>
      <c r="K47" s="50"/>
      <c r="L47" s="14" t="s">
        <v>36</v>
      </c>
      <c r="M47" s="14" t="s">
        <v>37</v>
      </c>
      <c r="N47" s="14" t="s">
        <v>31</v>
      </c>
      <c r="O47" s="16"/>
      <c r="P47" s="16"/>
      <c r="Q47" s="16"/>
    </row>
    <row r="48" spans="1:17" s="47" customFormat="1" ht="12.75" customHeight="1" x14ac:dyDescent="0.3">
      <c r="A48" s="14">
        <v>7</v>
      </c>
      <c r="B48" s="48" t="s">
        <v>76</v>
      </c>
      <c r="C48" s="48" t="s">
        <v>74</v>
      </c>
      <c r="D48" s="22" t="s">
        <v>39</v>
      </c>
      <c r="E48" s="14" t="s">
        <v>58</v>
      </c>
      <c r="F48" s="16" t="s">
        <v>59</v>
      </c>
      <c r="G48" s="23" t="s">
        <v>44</v>
      </c>
      <c r="H48" s="19">
        <v>46128</v>
      </c>
      <c r="I48" s="14">
        <f t="shared" si="3"/>
        <v>16</v>
      </c>
      <c r="J48" s="14" t="s">
        <v>35</v>
      </c>
      <c r="K48" s="50"/>
      <c r="L48" s="14" t="s">
        <v>36</v>
      </c>
      <c r="M48" s="14" t="s">
        <v>37</v>
      </c>
      <c r="N48" s="14" t="s">
        <v>31</v>
      </c>
      <c r="O48" s="16"/>
      <c r="P48" s="16"/>
      <c r="Q48" s="16"/>
    </row>
    <row r="49" spans="1:17" s="47" customFormat="1" ht="12.75" customHeight="1" x14ac:dyDescent="0.3">
      <c r="A49" s="14">
        <v>8</v>
      </c>
      <c r="B49" s="48" t="s">
        <v>172</v>
      </c>
      <c r="C49" s="48" t="s">
        <v>74</v>
      </c>
      <c r="D49" s="22" t="s">
        <v>39</v>
      </c>
      <c r="E49" s="14" t="s">
        <v>58</v>
      </c>
      <c r="F49" s="16" t="s">
        <v>59</v>
      </c>
      <c r="G49" s="23" t="s">
        <v>44</v>
      </c>
      <c r="H49" s="19">
        <v>46138</v>
      </c>
      <c r="I49" s="14">
        <f t="shared" si="3"/>
        <v>6</v>
      </c>
      <c r="J49" s="14" t="s">
        <v>35</v>
      </c>
      <c r="K49" s="50"/>
      <c r="L49" s="14" t="s">
        <v>36</v>
      </c>
      <c r="M49" s="14" t="s">
        <v>37</v>
      </c>
      <c r="N49" s="14" t="s">
        <v>31</v>
      </c>
      <c r="O49" s="16"/>
      <c r="P49" s="16"/>
      <c r="Q49" s="16"/>
    </row>
    <row r="50" spans="1:17" s="47" customFormat="1" ht="12.75" customHeight="1" x14ac:dyDescent="0.3">
      <c r="A50" s="14">
        <v>9</v>
      </c>
      <c r="B50" s="48" t="s">
        <v>80</v>
      </c>
      <c r="C50" s="48" t="s">
        <v>79</v>
      </c>
      <c r="D50" s="22" t="s">
        <v>39</v>
      </c>
      <c r="E50" s="14" t="s">
        <v>58</v>
      </c>
      <c r="F50" s="16" t="s">
        <v>59</v>
      </c>
      <c r="G50" s="23" t="s">
        <v>44</v>
      </c>
      <c r="H50" s="19">
        <v>46128</v>
      </c>
      <c r="I50" s="14">
        <f t="shared" si="3"/>
        <v>16</v>
      </c>
      <c r="J50" s="14" t="s">
        <v>35</v>
      </c>
      <c r="K50" s="14"/>
      <c r="L50" s="14" t="s">
        <v>36</v>
      </c>
      <c r="M50" s="14" t="s">
        <v>37</v>
      </c>
      <c r="N50" s="14" t="s">
        <v>31</v>
      </c>
      <c r="O50" s="16"/>
      <c r="P50" s="16"/>
      <c r="Q50" s="16"/>
    </row>
    <row r="51" spans="1:17" s="47" customFormat="1" ht="12.75" customHeight="1" x14ac:dyDescent="0.3">
      <c r="A51" s="14">
        <v>10</v>
      </c>
      <c r="B51" s="48" t="s">
        <v>78</v>
      </c>
      <c r="C51" s="48" t="s">
        <v>79</v>
      </c>
      <c r="D51" s="22" t="s">
        <v>39</v>
      </c>
      <c r="E51" s="14" t="s">
        <v>58</v>
      </c>
      <c r="F51" s="16" t="s">
        <v>59</v>
      </c>
      <c r="G51" s="23" t="s">
        <v>44</v>
      </c>
      <c r="H51" s="19">
        <v>46128</v>
      </c>
      <c r="I51" s="14">
        <f t="shared" si="3"/>
        <v>16</v>
      </c>
      <c r="J51" s="14" t="s">
        <v>35</v>
      </c>
      <c r="K51" s="14"/>
      <c r="L51" s="14" t="s">
        <v>36</v>
      </c>
      <c r="M51" s="14" t="s">
        <v>37</v>
      </c>
      <c r="N51" s="14" t="s">
        <v>31</v>
      </c>
      <c r="O51" s="16"/>
      <c r="P51" s="16"/>
      <c r="Q51" s="16"/>
    </row>
    <row r="52" spans="1:17" s="47" customFormat="1" ht="12.75" customHeight="1" x14ac:dyDescent="0.3">
      <c r="A52" s="14">
        <v>11</v>
      </c>
      <c r="B52" s="48" t="s">
        <v>177</v>
      </c>
      <c r="C52" s="48" t="s">
        <v>79</v>
      </c>
      <c r="D52" s="22" t="s">
        <v>39</v>
      </c>
      <c r="E52" s="14" t="s">
        <v>58</v>
      </c>
      <c r="F52" s="16" t="s">
        <v>59</v>
      </c>
      <c r="G52" s="23" t="s">
        <v>44</v>
      </c>
      <c r="H52" s="19">
        <v>46143</v>
      </c>
      <c r="I52" s="14">
        <v>1</v>
      </c>
      <c r="J52" s="14" t="s">
        <v>35</v>
      </c>
      <c r="K52" s="14"/>
      <c r="L52" s="14" t="s">
        <v>36</v>
      </c>
      <c r="M52" s="14" t="s">
        <v>37</v>
      </c>
      <c r="N52" s="14" t="s">
        <v>31</v>
      </c>
      <c r="O52" s="16"/>
      <c r="P52" s="16"/>
      <c r="Q52" s="16"/>
    </row>
    <row r="53" spans="1:17" s="47" customFormat="1" ht="12.75" customHeight="1" x14ac:dyDescent="0.3">
      <c r="A53" s="14">
        <v>12</v>
      </c>
      <c r="B53" s="48" t="s">
        <v>173</v>
      </c>
      <c r="C53" s="48" t="s">
        <v>79</v>
      </c>
      <c r="D53" s="22" t="s">
        <v>39</v>
      </c>
      <c r="E53" s="14" t="s">
        <v>58</v>
      </c>
      <c r="F53" s="16" t="s">
        <v>59</v>
      </c>
      <c r="G53" s="23" t="s">
        <v>44</v>
      </c>
      <c r="H53" s="19">
        <v>46134</v>
      </c>
      <c r="I53" s="14">
        <f>IF(H53="",0,$K$4-H53+1)</f>
        <v>10</v>
      </c>
      <c r="J53" s="14" t="s">
        <v>35</v>
      </c>
      <c r="K53" s="14"/>
      <c r="L53" s="14" t="s">
        <v>36</v>
      </c>
      <c r="M53" s="14" t="s">
        <v>37</v>
      </c>
      <c r="N53" s="14" t="s">
        <v>31</v>
      </c>
      <c r="O53" s="16"/>
      <c r="P53" s="16"/>
      <c r="Q53" s="16"/>
    </row>
    <row r="54" spans="1:17" s="47" customFormat="1" ht="12.75" customHeight="1" x14ac:dyDescent="0.3">
      <c r="A54" s="14">
        <v>13</v>
      </c>
      <c r="B54" s="48" t="s">
        <v>88</v>
      </c>
      <c r="C54" s="51" t="s">
        <v>82</v>
      </c>
      <c r="D54" s="22" t="s">
        <v>39</v>
      </c>
      <c r="E54" s="14" t="s">
        <v>58</v>
      </c>
      <c r="F54" s="16" t="s">
        <v>59</v>
      </c>
      <c r="G54" s="23" t="s">
        <v>44</v>
      </c>
      <c r="H54" s="19">
        <v>46123</v>
      </c>
      <c r="I54" s="14">
        <f>IF(H54="",0,$K$4-H54+1)</f>
        <v>21</v>
      </c>
      <c r="J54" s="14" t="s">
        <v>35</v>
      </c>
      <c r="K54" s="14"/>
      <c r="L54" s="14" t="s">
        <v>36</v>
      </c>
      <c r="M54" s="14" t="s">
        <v>37</v>
      </c>
      <c r="N54" s="14" t="s">
        <v>31</v>
      </c>
      <c r="O54" s="16"/>
      <c r="P54" s="16"/>
      <c r="Q54" s="16"/>
    </row>
    <row r="55" spans="1:17" s="47" customFormat="1" ht="12.75" customHeight="1" x14ac:dyDescent="0.3">
      <c r="A55" s="14">
        <v>14</v>
      </c>
      <c r="B55" s="48" t="s">
        <v>83</v>
      </c>
      <c r="C55" s="51" t="s">
        <v>84</v>
      </c>
      <c r="D55" s="22" t="s">
        <v>39</v>
      </c>
      <c r="E55" s="14" t="s">
        <v>58</v>
      </c>
      <c r="F55" s="16" t="s">
        <v>59</v>
      </c>
      <c r="G55" s="23" t="s">
        <v>44</v>
      </c>
      <c r="H55" s="19">
        <v>46128</v>
      </c>
      <c r="I55" s="14">
        <f>IF(H55="",0,$K$4-H55+1)</f>
        <v>16</v>
      </c>
      <c r="J55" s="14" t="s">
        <v>35</v>
      </c>
      <c r="K55" s="14"/>
      <c r="L55" s="14" t="s">
        <v>36</v>
      </c>
      <c r="M55" s="14" t="s">
        <v>37</v>
      </c>
      <c r="N55" s="14" t="s">
        <v>31</v>
      </c>
      <c r="O55" s="16"/>
      <c r="P55" s="16"/>
      <c r="Q55" s="16"/>
    </row>
    <row r="56" spans="1:17" s="8" customFormat="1" ht="13.8" x14ac:dyDescent="0.3">
      <c r="A56" s="13"/>
      <c r="B56" s="13" t="s">
        <v>89</v>
      </c>
      <c r="C56" s="13" t="s">
        <v>49</v>
      </c>
      <c r="D56" s="13" t="s">
        <v>49</v>
      </c>
      <c r="E56" s="13" t="s">
        <v>51</v>
      </c>
      <c r="F56" s="25" t="s">
        <v>49</v>
      </c>
      <c r="G56" s="25"/>
      <c r="H56" s="38">
        <f>COUNT(A57:A67)</f>
        <v>10</v>
      </c>
      <c r="I56" s="13"/>
      <c r="J56" s="27"/>
      <c r="K56" s="27"/>
      <c r="L56" s="13">
        <f>COUNTA(L57:L67)</f>
        <v>7</v>
      </c>
      <c r="M56" s="13">
        <f>COUNTA(M57:M67)</f>
        <v>7</v>
      </c>
      <c r="N56" s="13">
        <f>COUNTA(N57:N67)</f>
        <v>8</v>
      </c>
      <c r="O56" s="13">
        <f>COUNTA(O57:O67)</f>
        <v>0</v>
      </c>
      <c r="P56" s="13">
        <f>COUNTA(P57:P67)</f>
        <v>0</v>
      </c>
      <c r="Q56" s="13"/>
    </row>
    <row r="57" spans="1:17" s="8" customFormat="1" ht="13.8" x14ac:dyDescent="0.3">
      <c r="A57" s="14">
        <v>1</v>
      </c>
      <c r="B57" s="53" t="s">
        <v>174</v>
      </c>
      <c r="C57" s="53" t="s">
        <v>90</v>
      </c>
      <c r="D57" s="40" t="s">
        <v>54</v>
      </c>
      <c r="E57" s="14" t="s">
        <v>91</v>
      </c>
      <c r="F57" s="18" t="s">
        <v>33</v>
      </c>
      <c r="G57" s="16" t="s">
        <v>92</v>
      </c>
      <c r="H57" s="19">
        <v>46135</v>
      </c>
      <c r="I57" s="14">
        <f t="shared" ref="I57:I66" si="4">IF(H57="",0,$K$4-H57+1)</f>
        <v>9</v>
      </c>
      <c r="J57" s="41" t="s">
        <v>35</v>
      </c>
      <c r="K57" s="54">
        <v>8424005261</v>
      </c>
      <c r="L57" s="14" t="s">
        <v>36</v>
      </c>
      <c r="M57" s="14" t="s">
        <v>37</v>
      </c>
      <c r="N57" s="14" t="s">
        <v>31</v>
      </c>
      <c r="O57" s="14"/>
      <c r="P57" s="14"/>
      <c r="Q57" s="14"/>
    </row>
    <row r="58" spans="1:17" s="8" customFormat="1" ht="15.75" customHeight="1" x14ac:dyDescent="0.3">
      <c r="A58" s="14">
        <v>2</v>
      </c>
      <c r="B58" s="55" t="s">
        <v>93</v>
      </c>
      <c r="C58" s="48" t="s">
        <v>94</v>
      </c>
      <c r="D58" s="40" t="s">
        <v>54</v>
      </c>
      <c r="E58" s="14" t="s">
        <v>91</v>
      </c>
      <c r="F58" s="18" t="s">
        <v>33</v>
      </c>
      <c r="G58" s="16" t="s">
        <v>92</v>
      </c>
      <c r="H58" s="19">
        <v>46136</v>
      </c>
      <c r="I58" s="14">
        <f t="shared" si="4"/>
        <v>8</v>
      </c>
      <c r="J58" s="41" t="s">
        <v>35</v>
      </c>
      <c r="K58" s="56"/>
      <c r="L58" s="14" t="s">
        <v>36</v>
      </c>
      <c r="M58" s="14" t="s">
        <v>37</v>
      </c>
      <c r="N58" s="14" t="s">
        <v>31</v>
      </c>
      <c r="O58" s="14"/>
      <c r="P58" s="14"/>
      <c r="Q58" s="14"/>
    </row>
    <row r="59" spans="1:17" s="8" customFormat="1" ht="13.8" x14ac:dyDescent="0.3">
      <c r="A59" s="14">
        <v>3</v>
      </c>
      <c r="B59" s="53" t="s">
        <v>105</v>
      </c>
      <c r="C59" s="53" t="s">
        <v>99</v>
      </c>
      <c r="D59" s="57" t="s">
        <v>31</v>
      </c>
      <c r="E59" s="16" t="s">
        <v>100</v>
      </c>
      <c r="F59" s="23" t="s">
        <v>45</v>
      </c>
      <c r="G59" s="23" t="s">
        <v>44</v>
      </c>
      <c r="H59" s="19">
        <v>46136</v>
      </c>
      <c r="I59" s="14">
        <f t="shared" si="4"/>
        <v>8</v>
      </c>
      <c r="J59" s="41" t="s">
        <v>35</v>
      </c>
      <c r="K59" s="56"/>
      <c r="L59" s="14" t="s">
        <v>36</v>
      </c>
      <c r="M59" s="14" t="s">
        <v>37</v>
      </c>
      <c r="N59" s="14" t="s">
        <v>31</v>
      </c>
      <c r="O59" s="14"/>
      <c r="P59" s="14"/>
      <c r="Q59" s="14"/>
    </row>
    <row r="60" spans="1:17" s="8" customFormat="1" ht="13.8" x14ac:dyDescent="0.3">
      <c r="A60" s="14">
        <v>4</v>
      </c>
      <c r="B60" s="55" t="s">
        <v>106</v>
      </c>
      <c r="C60" s="53" t="s">
        <v>101</v>
      </c>
      <c r="D60" s="57" t="s">
        <v>31</v>
      </c>
      <c r="E60" s="16" t="s">
        <v>100</v>
      </c>
      <c r="F60" s="23" t="s">
        <v>59</v>
      </c>
      <c r="G60" s="23" t="s">
        <v>44</v>
      </c>
      <c r="H60" s="19">
        <v>46136</v>
      </c>
      <c r="I60" s="14">
        <f t="shared" si="4"/>
        <v>8</v>
      </c>
      <c r="J60" s="41" t="s">
        <v>35</v>
      </c>
      <c r="K60" s="56"/>
      <c r="L60" s="14" t="s">
        <v>36</v>
      </c>
      <c r="M60" s="14" t="s">
        <v>37</v>
      </c>
      <c r="N60" s="14" t="s">
        <v>31</v>
      </c>
      <c r="O60" s="14"/>
      <c r="P60" s="14"/>
      <c r="Q60" s="14"/>
    </row>
    <row r="61" spans="1:17" s="8" customFormat="1" ht="13.8" x14ac:dyDescent="0.3">
      <c r="A61" s="14">
        <v>5</v>
      </c>
      <c r="B61" s="55" t="s">
        <v>108</v>
      </c>
      <c r="C61" s="53" t="s">
        <v>103</v>
      </c>
      <c r="D61" s="57" t="s">
        <v>31</v>
      </c>
      <c r="E61" s="16" t="s">
        <v>104</v>
      </c>
      <c r="F61" s="23" t="s">
        <v>45</v>
      </c>
      <c r="G61" s="23" t="s">
        <v>44</v>
      </c>
      <c r="H61" s="19">
        <v>46138</v>
      </c>
      <c r="I61" s="14">
        <f t="shared" si="4"/>
        <v>6</v>
      </c>
      <c r="J61" s="41" t="s">
        <v>35</v>
      </c>
      <c r="K61" s="56"/>
      <c r="L61" s="14" t="s">
        <v>36</v>
      </c>
      <c r="M61" s="14" t="s">
        <v>37</v>
      </c>
      <c r="N61" s="14"/>
      <c r="O61" s="14"/>
      <c r="P61" s="14"/>
      <c r="Q61" s="14"/>
    </row>
    <row r="62" spans="1:17" s="8" customFormat="1" ht="13.8" x14ac:dyDescent="0.3">
      <c r="A62" s="14">
        <v>6</v>
      </c>
      <c r="B62" s="53" t="s">
        <v>95</v>
      </c>
      <c r="C62" s="53" t="s">
        <v>96</v>
      </c>
      <c r="D62" s="57" t="s">
        <v>31</v>
      </c>
      <c r="E62" s="16" t="s">
        <v>97</v>
      </c>
      <c r="F62" s="23" t="s">
        <v>45</v>
      </c>
      <c r="G62" s="23" t="s">
        <v>44</v>
      </c>
      <c r="H62" s="19">
        <v>46136</v>
      </c>
      <c r="I62" s="14">
        <f t="shared" si="4"/>
        <v>8</v>
      </c>
      <c r="J62" s="41" t="s">
        <v>35</v>
      </c>
      <c r="K62" s="56"/>
      <c r="L62" s="14" t="s">
        <v>36</v>
      </c>
      <c r="M62" s="14" t="s">
        <v>37</v>
      </c>
      <c r="N62" s="14"/>
      <c r="O62" s="14"/>
      <c r="P62" s="14"/>
      <c r="Q62" s="14"/>
    </row>
    <row r="63" spans="1:17" s="8" customFormat="1" ht="13.8" x14ac:dyDescent="0.3">
      <c r="A63" s="14">
        <v>7</v>
      </c>
      <c r="B63" s="55" t="s">
        <v>107</v>
      </c>
      <c r="C63" s="53" t="s">
        <v>96</v>
      </c>
      <c r="D63" s="22" t="s">
        <v>39</v>
      </c>
      <c r="E63" s="16" t="s">
        <v>97</v>
      </c>
      <c r="F63" s="23" t="s">
        <v>45</v>
      </c>
      <c r="G63" s="23" t="s">
        <v>44</v>
      </c>
      <c r="H63" s="19">
        <v>46138</v>
      </c>
      <c r="I63" s="14">
        <f t="shared" si="4"/>
        <v>6</v>
      </c>
      <c r="J63" s="41" t="s">
        <v>35</v>
      </c>
      <c r="K63" s="56"/>
      <c r="L63" s="14"/>
      <c r="M63" s="14"/>
      <c r="N63" s="14" t="s">
        <v>31</v>
      </c>
      <c r="O63" s="14"/>
      <c r="P63" s="14"/>
      <c r="Q63" s="14"/>
    </row>
    <row r="64" spans="1:17" s="8" customFormat="1" ht="13.8" x14ac:dyDescent="0.3">
      <c r="A64" s="14">
        <v>8</v>
      </c>
      <c r="B64" s="55" t="s">
        <v>98</v>
      </c>
      <c r="C64" s="53" t="s">
        <v>99</v>
      </c>
      <c r="D64" s="22" t="s">
        <v>39</v>
      </c>
      <c r="E64" s="16" t="s">
        <v>100</v>
      </c>
      <c r="F64" s="23" t="s">
        <v>45</v>
      </c>
      <c r="G64" s="23" t="s">
        <v>44</v>
      </c>
      <c r="H64" s="19">
        <v>46141</v>
      </c>
      <c r="I64" s="14">
        <f t="shared" si="4"/>
        <v>3</v>
      </c>
      <c r="J64" s="41" t="s">
        <v>35</v>
      </c>
      <c r="K64" s="56"/>
      <c r="L64" s="14"/>
      <c r="M64" s="14"/>
      <c r="N64" s="14" t="s">
        <v>31</v>
      </c>
      <c r="O64" s="14"/>
      <c r="P64" s="14"/>
      <c r="Q64" s="14"/>
    </row>
    <row r="65" spans="1:17" s="8" customFormat="1" ht="13.8" x14ac:dyDescent="0.3">
      <c r="A65" s="14">
        <v>9</v>
      </c>
      <c r="B65" s="55" t="s">
        <v>175</v>
      </c>
      <c r="C65" s="53" t="s">
        <v>101</v>
      </c>
      <c r="D65" s="22" t="s">
        <v>39</v>
      </c>
      <c r="E65" s="16" t="s">
        <v>100</v>
      </c>
      <c r="F65" s="23" t="s">
        <v>59</v>
      </c>
      <c r="G65" s="23" t="s">
        <v>44</v>
      </c>
      <c r="H65" s="19">
        <v>46140</v>
      </c>
      <c r="I65" s="14">
        <f t="shared" si="4"/>
        <v>4</v>
      </c>
      <c r="J65" s="41" t="s">
        <v>35</v>
      </c>
      <c r="K65" s="56"/>
      <c r="L65" s="14" t="s">
        <v>36</v>
      </c>
      <c r="M65" s="14" t="s">
        <v>37</v>
      </c>
      <c r="N65" s="14" t="s">
        <v>31</v>
      </c>
      <c r="O65" s="14"/>
      <c r="P65" s="14"/>
      <c r="Q65" s="14"/>
    </row>
    <row r="66" spans="1:17" s="8" customFormat="1" ht="13.8" x14ac:dyDescent="0.3">
      <c r="A66" s="14">
        <v>10</v>
      </c>
      <c r="B66" s="55" t="s">
        <v>102</v>
      </c>
      <c r="C66" s="53" t="s">
        <v>103</v>
      </c>
      <c r="D66" s="22" t="s">
        <v>39</v>
      </c>
      <c r="E66" s="16" t="s">
        <v>104</v>
      </c>
      <c r="F66" s="23" t="s">
        <v>45</v>
      </c>
      <c r="G66" s="23" t="s">
        <v>44</v>
      </c>
      <c r="H66" s="19">
        <v>46138</v>
      </c>
      <c r="I66" s="14">
        <f t="shared" si="4"/>
        <v>6</v>
      </c>
      <c r="J66" s="41" t="s">
        <v>35</v>
      </c>
      <c r="K66" s="56"/>
      <c r="L66" s="14"/>
      <c r="M66" s="14"/>
      <c r="N66" s="14" t="s">
        <v>31</v>
      </c>
      <c r="O66" s="14"/>
      <c r="P66" s="14"/>
      <c r="Q66" s="14"/>
    </row>
    <row r="67" spans="1:17" s="8" customFormat="1" ht="15.75" customHeight="1" x14ac:dyDescent="0.3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</row>
    <row r="68" spans="1:17" s="8" customFormat="1" ht="13.8" x14ac:dyDescent="0.3">
      <c r="A68" s="13"/>
      <c r="B68" s="13" t="s">
        <v>109</v>
      </c>
      <c r="C68" s="13"/>
      <c r="D68" s="13"/>
      <c r="E68" s="13" t="s">
        <v>51</v>
      </c>
      <c r="F68" s="25" t="s">
        <v>49</v>
      </c>
      <c r="G68" s="25"/>
      <c r="H68" s="38">
        <f>COUNT(#REF!)</f>
        <v>0</v>
      </c>
      <c r="I68" s="13"/>
      <c r="J68" s="27"/>
      <c r="K68" s="27"/>
      <c r="L68" s="13">
        <f>COUNTA(#REF!)</f>
        <v>1</v>
      </c>
      <c r="M68" s="13">
        <f>COUNTA(#REF!)</f>
        <v>1</v>
      </c>
      <c r="N68" s="13">
        <f>COUNTA(#REF!)</f>
        <v>1</v>
      </c>
      <c r="O68" s="13">
        <f>COUNTA(O69:O69)</f>
        <v>0</v>
      </c>
      <c r="P68" s="13">
        <f>COUNTA(P69:P69)</f>
        <v>0</v>
      </c>
      <c r="Q68" s="13"/>
    </row>
    <row r="69" spans="1:17" s="8" customFormat="1" ht="13.8" x14ac:dyDescent="0.3">
      <c r="A69" s="138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40"/>
    </row>
    <row r="70" spans="1:17" s="8" customFormat="1" ht="13.8" x14ac:dyDescent="0.3">
      <c r="A70" s="13"/>
      <c r="B70" s="13" t="s">
        <v>110</v>
      </c>
      <c r="C70" s="13"/>
      <c r="D70" s="13"/>
      <c r="E70" s="13" t="s">
        <v>51</v>
      </c>
      <c r="F70" s="25" t="s">
        <v>49</v>
      </c>
      <c r="G70" s="25"/>
      <c r="H70" s="38">
        <f>COUNT(#REF!)</f>
        <v>0</v>
      </c>
      <c r="I70" s="13"/>
      <c r="J70" s="13"/>
      <c r="K70" s="27"/>
      <c r="L70" s="13">
        <f>COUNTA(#REF!)</f>
        <v>1</v>
      </c>
      <c r="M70" s="13">
        <f>COUNTA(#REF!)</f>
        <v>1</v>
      </c>
      <c r="N70" s="13">
        <f>COUNTA(#REF!)</f>
        <v>1</v>
      </c>
      <c r="O70" s="13"/>
      <c r="P70" s="13"/>
      <c r="Q70" s="13"/>
    </row>
    <row r="71" spans="1:17" s="20" customFormat="1" ht="13.8" x14ac:dyDescent="0.3">
      <c r="A71" s="138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40"/>
    </row>
    <row r="72" spans="1:17" s="8" customFormat="1" ht="13.8" x14ac:dyDescent="0.3">
      <c r="A72" s="13"/>
      <c r="B72" s="13" t="s">
        <v>111</v>
      </c>
      <c r="C72" s="13"/>
      <c r="D72" s="13"/>
      <c r="E72" s="13" t="s">
        <v>51</v>
      </c>
      <c r="F72" s="25" t="s">
        <v>49</v>
      </c>
      <c r="G72" s="25"/>
      <c r="H72" s="38">
        <f>COUNT(A73:A76)</f>
        <v>4</v>
      </c>
      <c r="I72" s="13"/>
      <c r="J72" s="13"/>
      <c r="K72" s="27"/>
      <c r="L72" s="13">
        <f>COUNTA(L74:L76)</f>
        <v>3</v>
      </c>
      <c r="M72" s="13">
        <f>COUNTA(M74:M76)</f>
        <v>3</v>
      </c>
      <c r="N72" s="13">
        <f>COUNTA(N74:N76)</f>
        <v>3</v>
      </c>
      <c r="O72" s="13">
        <v>0</v>
      </c>
      <c r="P72" s="13">
        <v>0</v>
      </c>
      <c r="Q72" s="13"/>
    </row>
    <row r="73" spans="1:17" s="8" customFormat="1" ht="13.8" x14ac:dyDescent="0.3">
      <c r="A73" s="14">
        <v>1</v>
      </c>
      <c r="B73" s="28" t="s">
        <v>112</v>
      </c>
      <c r="C73" s="14" t="s">
        <v>113</v>
      </c>
      <c r="D73" s="57" t="s">
        <v>31</v>
      </c>
      <c r="E73" s="14" t="s">
        <v>114</v>
      </c>
      <c r="F73" s="23" t="s">
        <v>45</v>
      </c>
      <c r="G73" s="23" t="s">
        <v>44</v>
      </c>
      <c r="H73" s="89">
        <v>46140</v>
      </c>
      <c r="I73" s="14">
        <f>IF(H73="",0,$K$4-H73+1)</f>
        <v>4</v>
      </c>
      <c r="J73" s="41" t="s">
        <v>35</v>
      </c>
      <c r="K73" s="54"/>
      <c r="L73" s="14" t="s">
        <v>36</v>
      </c>
      <c r="M73" s="14" t="s">
        <v>37</v>
      </c>
      <c r="N73" s="14"/>
      <c r="O73" s="14"/>
      <c r="P73" s="14"/>
      <c r="Q73" s="29"/>
    </row>
    <row r="74" spans="1:17" s="20" customFormat="1" ht="13.8" x14ac:dyDescent="0.3">
      <c r="A74" s="14">
        <v>2</v>
      </c>
      <c r="B74" s="28" t="s">
        <v>115</v>
      </c>
      <c r="C74" s="14" t="s">
        <v>116</v>
      </c>
      <c r="D74" s="57" t="s">
        <v>31</v>
      </c>
      <c r="E74" s="14" t="s">
        <v>114</v>
      </c>
      <c r="F74" s="58" t="s">
        <v>59</v>
      </c>
      <c r="G74" s="23" t="s">
        <v>44</v>
      </c>
      <c r="H74" s="19">
        <v>46128</v>
      </c>
      <c r="I74" s="14">
        <f>IF(H74="",0,$K$4-H74+1)</f>
        <v>16</v>
      </c>
      <c r="J74" s="41" t="s">
        <v>35</v>
      </c>
      <c r="K74" s="54"/>
      <c r="L74" s="14" t="s">
        <v>36</v>
      </c>
      <c r="M74" s="14" t="s">
        <v>37</v>
      </c>
      <c r="N74" s="14" t="s">
        <v>31</v>
      </c>
      <c r="O74" s="14"/>
      <c r="P74" s="14"/>
      <c r="Q74" s="29"/>
    </row>
    <row r="75" spans="1:17" s="20" customFormat="1" ht="13.8" x14ac:dyDescent="0.3">
      <c r="A75" s="14">
        <v>3</v>
      </c>
      <c r="B75" s="28" t="s">
        <v>176</v>
      </c>
      <c r="C75" s="14" t="s">
        <v>118</v>
      </c>
      <c r="D75" s="57" t="s">
        <v>31</v>
      </c>
      <c r="E75" s="14" t="s">
        <v>114</v>
      </c>
      <c r="F75" s="58" t="s">
        <v>59</v>
      </c>
      <c r="G75" s="23" t="s">
        <v>44</v>
      </c>
      <c r="H75" s="19">
        <v>46137</v>
      </c>
      <c r="I75" s="14">
        <f>IF(H75="",0,$K$4-H75+1)</f>
        <v>7</v>
      </c>
      <c r="J75" s="41" t="s">
        <v>35</v>
      </c>
      <c r="K75" s="54"/>
      <c r="L75" s="14" t="s">
        <v>36</v>
      </c>
      <c r="M75" s="14" t="s">
        <v>37</v>
      </c>
      <c r="N75" s="14" t="s">
        <v>31</v>
      </c>
      <c r="O75" s="14"/>
      <c r="P75" s="14"/>
      <c r="Q75" s="29"/>
    </row>
    <row r="76" spans="1:17" s="20" customFormat="1" ht="13.8" x14ac:dyDescent="0.3">
      <c r="A76" s="14">
        <v>4</v>
      </c>
      <c r="B76" s="28" t="s">
        <v>117</v>
      </c>
      <c r="C76" s="14" t="s">
        <v>118</v>
      </c>
      <c r="D76" s="22" t="s">
        <v>39</v>
      </c>
      <c r="E76" s="14" t="s">
        <v>114</v>
      </c>
      <c r="F76" s="58" t="s">
        <v>59</v>
      </c>
      <c r="G76" s="23" t="s">
        <v>44</v>
      </c>
      <c r="H76" s="19">
        <v>46137</v>
      </c>
      <c r="I76" s="14">
        <f>IF(H76="",0,$K$4-H76+1)</f>
        <v>7</v>
      </c>
      <c r="J76" s="41" t="s">
        <v>35</v>
      </c>
      <c r="K76" s="54"/>
      <c r="L76" s="14" t="s">
        <v>36</v>
      </c>
      <c r="M76" s="14" t="s">
        <v>37</v>
      </c>
      <c r="N76" s="14" t="s">
        <v>31</v>
      </c>
      <c r="O76" s="14"/>
      <c r="P76" s="14"/>
      <c r="Q76" s="29"/>
    </row>
    <row r="77" spans="1:17" s="59" customFormat="1" ht="13.8" x14ac:dyDescent="0.3">
      <c r="A77" s="141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3"/>
    </row>
    <row r="78" spans="1:17" s="8" customFormat="1" ht="13.8" x14ac:dyDescent="0.3">
      <c r="A78" s="13"/>
      <c r="B78" s="13" t="s">
        <v>119</v>
      </c>
      <c r="C78" s="13"/>
      <c r="D78" s="13"/>
      <c r="E78" s="13" t="s">
        <v>120</v>
      </c>
      <c r="F78" s="25"/>
      <c r="G78" s="25"/>
      <c r="H78" s="38">
        <f>COUNT(#REF!)</f>
        <v>0</v>
      </c>
      <c r="I78" s="60"/>
      <c r="J78" s="60"/>
      <c r="K78" s="61"/>
      <c r="L78" s="13">
        <f>COUNTA(#REF!)</f>
        <v>1</v>
      </c>
      <c r="M78" s="13">
        <f>COUNTA(#REF!)</f>
        <v>1</v>
      </c>
      <c r="N78" s="13">
        <f>COUNTA(#REF!)</f>
        <v>1</v>
      </c>
      <c r="O78" s="13"/>
      <c r="P78" s="13"/>
      <c r="Q78" s="13"/>
    </row>
    <row r="79" spans="1:17" s="8" customFormat="1" ht="13.8" x14ac:dyDescent="0.3">
      <c r="A79" s="138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40"/>
    </row>
    <row r="80" spans="1:17" s="8" customFormat="1" ht="13.8" x14ac:dyDescent="0.3">
      <c r="A80" s="30"/>
      <c r="B80" s="30" t="s">
        <v>121</v>
      </c>
      <c r="C80" s="30"/>
      <c r="D80" s="13"/>
      <c r="E80" s="30" t="s">
        <v>120</v>
      </c>
      <c r="F80" s="32"/>
      <c r="G80" s="32"/>
      <c r="H80" s="38">
        <f>COUNT(#REF!)</f>
        <v>0</v>
      </c>
      <c r="I80" s="62"/>
      <c r="J80" s="62"/>
      <c r="K80" s="63"/>
      <c r="L80" s="13">
        <f>COUNTA(#REF!)</f>
        <v>1</v>
      </c>
      <c r="M80" s="13">
        <f>COUNTA(#REF!)</f>
        <v>1</v>
      </c>
      <c r="N80" s="13">
        <f>COUNTA(#REF!)</f>
        <v>1</v>
      </c>
      <c r="O80" s="30">
        <f>COUNTA(O81:O81)</f>
        <v>0</v>
      </c>
      <c r="P80" s="30">
        <f>COUNTA(P81:P81)</f>
        <v>0</v>
      </c>
      <c r="Q80" s="30"/>
    </row>
    <row r="81" spans="1:17" s="8" customFormat="1" ht="13.8" x14ac:dyDescent="0.3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</row>
    <row r="82" spans="1:17" s="8" customFormat="1" ht="13.8" x14ac:dyDescent="0.3">
      <c r="A82" s="64"/>
      <c r="B82" s="64" t="s">
        <v>122</v>
      </c>
      <c r="C82" s="64"/>
      <c r="D82" s="64"/>
      <c r="E82" s="64" t="s">
        <v>51</v>
      </c>
      <c r="F82" s="65" t="s">
        <v>49</v>
      </c>
      <c r="G82" s="65"/>
      <c r="H82" s="66">
        <f>COUNT(A82:A86)</f>
        <v>4</v>
      </c>
      <c r="I82" s="64"/>
      <c r="J82" s="67"/>
      <c r="K82" s="68"/>
      <c r="L82" s="64">
        <f>COUNTA(L83:L86)</f>
        <v>0</v>
      </c>
      <c r="M82" s="64">
        <f>COUNTA(M83:M86)</f>
        <v>0</v>
      </c>
      <c r="N82" s="64">
        <f>COUNTA(N83:N86)</f>
        <v>0</v>
      </c>
      <c r="O82" s="13">
        <f>COUNTA(O83:O86)</f>
        <v>0</v>
      </c>
      <c r="P82" s="13">
        <f>COUNTA(P83:P86)</f>
        <v>0</v>
      </c>
      <c r="Q82" s="64"/>
    </row>
    <row r="83" spans="1:17" s="20" customFormat="1" ht="13.8" x14ac:dyDescent="0.3">
      <c r="A83" s="14">
        <v>1</v>
      </c>
      <c r="B83" s="15" t="s">
        <v>123</v>
      </c>
      <c r="C83" s="69" t="s">
        <v>124</v>
      </c>
      <c r="D83" s="22" t="s">
        <v>39</v>
      </c>
      <c r="E83" s="15" t="s">
        <v>125</v>
      </c>
      <c r="F83" s="16" t="s">
        <v>45</v>
      </c>
      <c r="G83" s="23" t="s">
        <v>44</v>
      </c>
      <c r="H83" s="19">
        <v>46105</v>
      </c>
      <c r="I83" s="14">
        <f>IF(H83="",0,$K$4-H83+1)</f>
        <v>39</v>
      </c>
      <c r="J83" s="41" t="s">
        <v>35</v>
      </c>
      <c r="K83" s="54"/>
      <c r="L83" s="14"/>
      <c r="M83" s="14"/>
      <c r="N83" s="14"/>
      <c r="O83" s="14"/>
      <c r="P83" s="14"/>
      <c r="Q83" s="14"/>
    </row>
    <row r="84" spans="1:17" s="20" customFormat="1" ht="13.8" x14ac:dyDescent="0.3">
      <c r="A84" s="14">
        <v>2</v>
      </c>
      <c r="B84" s="15" t="s">
        <v>126</v>
      </c>
      <c r="C84" s="69" t="s">
        <v>124</v>
      </c>
      <c r="D84" s="22" t="s">
        <v>39</v>
      </c>
      <c r="E84" s="15" t="s">
        <v>125</v>
      </c>
      <c r="F84" s="16" t="s">
        <v>45</v>
      </c>
      <c r="G84" s="23" t="s">
        <v>44</v>
      </c>
      <c r="H84" s="19">
        <v>46105</v>
      </c>
      <c r="I84" s="14">
        <f>IF(H84="",0,$K$4-H84+1)</f>
        <v>39</v>
      </c>
      <c r="J84" s="41" t="s">
        <v>35</v>
      </c>
      <c r="K84" s="54"/>
      <c r="L84" s="14"/>
      <c r="M84" s="14"/>
      <c r="N84" s="14"/>
      <c r="O84" s="14"/>
      <c r="P84" s="14"/>
      <c r="Q84" s="14"/>
    </row>
    <row r="85" spans="1:17" s="20" customFormat="1" ht="13.8" x14ac:dyDescent="0.3">
      <c r="A85" s="14">
        <v>3</v>
      </c>
      <c r="B85" s="15" t="s">
        <v>127</v>
      </c>
      <c r="C85" s="69" t="s">
        <v>124</v>
      </c>
      <c r="D85" s="57" t="s">
        <v>31</v>
      </c>
      <c r="E85" s="15" t="s">
        <v>125</v>
      </c>
      <c r="F85" s="16" t="s">
        <v>45</v>
      </c>
      <c r="G85" s="23" t="s">
        <v>44</v>
      </c>
      <c r="H85" s="19">
        <v>46105</v>
      </c>
      <c r="I85" s="14">
        <f>IF(H85="",0,$K$4-H85+1)</f>
        <v>39</v>
      </c>
      <c r="J85" s="41" t="s">
        <v>35</v>
      </c>
      <c r="K85" s="54"/>
      <c r="L85" s="14"/>
      <c r="M85" s="14"/>
      <c r="N85" s="14"/>
      <c r="O85" s="14"/>
      <c r="P85" s="14"/>
      <c r="Q85" s="14"/>
    </row>
    <row r="86" spans="1:17" s="20" customFormat="1" ht="13.8" x14ac:dyDescent="0.3">
      <c r="A86" s="14">
        <v>4</v>
      </c>
      <c r="B86" s="15" t="s">
        <v>128</v>
      </c>
      <c r="C86" s="69" t="s">
        <v>124</v>
      </c>
      <c r="D86" s="57" t="s">
        <v>31</v>
      </c>
      <c r="E86" s="15" t="s">
        <v>125</v>
      </c>
      <c r="F86" s="16" t="s">
        <v>45</v>
      </c>
      <c r="G86" s="23" t="s">
        <v>44</v>
      </c>
      <c r="H86" s="19">
        <v>46105</v>
      </c>
      <c r="I86" s="14">
        <f>IF(H86="",0,$K$4-H86+1)</f>
        <v>39</v>
      </c>
      <c r="J86" s="41" t="s">
        <v>35</v>
      </c>
      <c r="K86" s="54"/>
      <c r="L86" s="14"/>
      <c r="M86" s="14"/>
      <c r="N86" s="14"/>
      <c r="O86" s="14"/>
      <c r="P86" s="14"/>
      <c r="Q86" s="14"/>
    </row>
    <row r="87" spans="1:17" s="20" customFormat="1" ht="13.8" x14ac:dyDescent="0.3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</row>
    <row r="88" spans="1:17" s="8" customFormat="1" ht="13.8" x14ac:dyDescent="0.3">
      <c r="A88" s="13"/>
      <c r="B88" s="13"/>
      <c r="C88" s="13"/>
      <c r="D88" s="13"/>
      <c r="E88" s="13"/>
      <c r="F88" s="25"/>
      <c r="G88" s="25"/>
      <c r="H88" s="38"/>
      <c r="I88" s="26"/>
      <c r="J88" s="26"/>
      <c r="K88" s="27"/>
      <c r="L88" s="27"/>
      <c r="M88" s="27"/>
      <c r="N88" s="27"/>
      <c r="O88" s="13"/>
      <c r="P88" s="13"/>
      <c r="Q88" s="13"/>
    </row>
    <row r="89" spans="1:17" s="8" customFormat="1" ht="13.8" x14ac:dyDescent="0.3">
      <c r="A89" s="16"/>
      <c r="B89" s="39"/>
      <c r="C89" s="69"/>
      <c r="D89" s="69"/>
      <c r="E89" s="39"/>
      <c r="F89" s="16"/>
      <c r="G89" s="16"/>
      <c r="H89" s="70"/>
      <c r="I89" s="16"/>
      <c r="J89" s="71"/>
      <c r="K89" s="16"/>
      <c r="L89" s="72"/>
      <c r="M89" s="72"/>
      <c r="N89" s="72"/>
      <c r="O89" s="73"/>
      <c r="P89" s="73"/>
      <c r="Q89" s="16"/>
    </row>
    <row r="90" spans="1:17" s="8" customFormat="1" ht="13.8" x14ac:dyDescent="0.3">
      <c r="A90" s="14"/>
      <c r="B90" s="145" t="s">
        <v>129</v>
      </c>
      <c r="C90" s="146"/>
      <c r="D90" s="69"/>
      <c r="E90" s="147" t="s">
        <v>130</v>
      </c>
      <c r="F90" s="148"/>
      <c r="G90" s="134">
        <f>F95</f>
        <v>22</v>
      </c>
      <c r="H90" s="132"/>
      <c r="I90" s="41"/>
      <c r="J90" s="14"/>
      <c r="K90" s="14"/>
      <c r="L90" s="74"/>
      <c r="M90" s="74"/>
      <c r="N90" s="74"/>
      <c r="O90" s="73"/>
      <c r="P90" s="73"/>
      <c r="Q90" s="43"/>
    </row>
    <row r="91" spans="1:17" s="8" customFormat="1" ht="13.8" x14ac:dyDescent="0.3">
      <c r="A91" s="14"/>
      <c r="B91" s="39" t="s">
        <v>32</v>
      </c>
      <c r="C91" s="16">
        <f>H6</f>
        <v>3</v>
      </c>
      <c r="D91" s="14"/>
      <c r="E91" s="149"/>
      <c r="F91" s="150"/>
      <c r="G91" s="151"/>
      <c r="H91" s="133"/>
      <c r="I91" s="41"/>
      <c r="J91" s="72"/>
      <c r="K91" s="72"/>
      <c r="L91" s="74"/>
      <c r="M91" s="74"/>
      <c r="N91" s="74"/>
      <c r="O91" s="73"/>
      <c r="P91" s="73"/>
      <c r="Q91" s="16"/>
    </row>
    <row r="92" spans="1:17" s="8" customFormat="1" ht="13.8" x14ac:dyDescent="0.3">
      <c r="A92" s="75"/>
      <c r="B92" s="39" t="s">
        <v>131</v>
      </c>
      <c r="C92" s="16">
        <f>H12</f>
        <v>1</v>
      </c>
      <c r="D92" s="16"/>
      <c r="E92" s="43"/>
      <c r="F92" s="43"/>
      <c r="G92" s="43"/>
      <c r="H92" s="53"/>
      <c r="I92" s="43"/>
      <c r="J92" s="74"/>
      <c r="K92" s="73"/>
      <c r="L92" s="74"/>
      <c r="M92" s="74"/>
      <c r="N92" s="74"/>
      <c r="O92" s="73"/>
      <c r="P92" s="73"/>
      <c r="Q92" s="76"/>
    </row>
    <row r="93" spans="1:17" s="8" customFormat="1" ht="13.8" x14ac:dyDescent="0.3">
      <c r="A93" s="75"/>
      <c r="B93" s="77" t="s">
        <v>132</v>
      </c>
      <c r="C93" s="16">
        <f>H15</f>
        <v>0</v>
      </c>
      <c r="D93" s="16"/>
      <c r="E93" s="145" t="s">
        <v>133</v>
      </c>
      <c r="F93" s="153"/>
      <c r="G93" s="153"/>
      <c r="H93" s="153"/>
      <c r="I93" s="146"/>
      <c r="J93" s="14"/>
      <c r="K93" s="74"/>
      <c r="L93" s="74"/>
      <c r="M93" s="74"/>
      <c r="N93" s="74"/>
      <c r="O93" s="73"/>
      <c r="P93" s="73"/>
      <c r="Q93" s="16"/>
    </row>
    <row r="94" spans="1:17" s="8" customFormat="1" ht="13.8" x14ac:dyDescent="0.3">
      <c r="A94" s="75"/>
      <c r="B94" s="39" t="s">
        <v>134</v>
      </c>
      <c r="C94" s="16">
        <f>SUM(H17,H25)</f>
        <v>20</v>
      </c>
      <c r="D94" s="16"/>
      <c r="E94" s="16" t="s">
        <v>135</v>
      </c>
      <c r="F94" s="16" t="s">
        <v>136</v>
      </c>
      <c r="G94" s="154" t="s">
        <v>137</v>
      </c>
      <c r="H94" s="155"/>
      <c r="I94" s="43" t="s">
        <v>138</v>
      </c>
      <c r="J94" s="14"/>
      <c r="K94" s="50"/>
      <c r="L94" s="74"/>
      <c r="M94" s="74"/>
      <c r="N94" s="74"/>
      <c r="O94" s="73"/>
      <c r="P94" s="73"/>
      <c r="Q94" s="16"/>
    </row>
    <row r="95" spans="1:17" s="8" customFormat="1" ht="13.8" x14ac:dyDescent="0.3">
      <c r="A95" s="75"/>
      <c r="B95" s="39" t="s">
        <v>139</v>
      </c>
      <c r="C95" s="16">
        <f>SUM(H41)</f>
        <v>14</v>
      </c>
      <c r="D95" s="16"/>
      <c r="E95" s="132">
        <f>COUNTIF(D6:D86,"*D*")</f>
        <v>25</v>
      </c>
      <c r="F95" s="132">
        <f>COUNTIF(D6:D86,"*N*")</f>
        <v>22</v>
      </c>
      <c r="G95" s="134">
        <f>COUNTIF(F6:F86,"*RIG*")</f>
        <v>9</v>
      </c>
      <c r="H95" s="132"/>
      <c r="I95" s="132">
        <f>COUNTIF(D6:D86,"*G*")</f>
        <v>9</v>
      </c>
      <c r="J95" s="14"/>
      <c r="K95" s="74"/>
      <c r="L95" s="74"/>
      <c r="M95" s="74"/>
      <c r="N95" s="74"/>
      <c r="O95" s="78"/>
      <c r="P95" s="78"/>
      <c r="Q95" s="16"/>
    </row>
    <row r="96" spans="1:17" s="8" customFormat="1" ht="13.8" x14ac:dyDescent="0.3">
      <c r="A96" s="75"/>
      <c r="B96" s="39" t="s">
        <v>140</v>
      </c>
      <c r="C96" s="16">
        <f>H56</f>
        <v>10</v>
      </c>
      <c r="D96" s="16"/>
      <c r="E96" s="133"/>
      <c r="F96" s="133"/>
      <c r="G96" s="136"/>
      <c r="H96" s="133"/>
      <c r="I96" s="133"/>
      <c r="J96" s="14"/>
      <c r="K96" s="74"/>
      <c r="L96" s="74"/>
      <c r="M96" s="74"/>
      <c r="N96" s="74"/>
      <c r="O96" s="78"/>
      <c r="P96" s="78"/>
      <c r="Q96" s="16"/>
    </row>
    <row r="97" spans="1:17" s="8" customFormat="1" ht="13.8" x14ac:dyDescent="0.3">
      <c r="A97" s="75"/>
      <c r="B97" s="39" t="s">
        <v>141</v>
      </c>
      <c r="C97" s="16">
        <f>H72</f>
        <v>4</v>
      </c>
      <c r="D97" s="16"/>
      <c r="E97" s="130" t="s">
        <v>142</v>
      </c>
      <c r="F97" s="130"/>
      <c r="G97" s="13" t="s">
        <v>24</v>
      </c>
      <c r="H97" s="79" t="s">
        <v>25</v>
      </c>
      <c r="I97" s="43"/>
      <c r="J97" s="14"/>
      <c r="K97" s="74"/>
      <c r="L97" s="74"/>
      <c r="M97" s="74"/>
      <c r="N97" s="74"/>
      <c r="O97" s="78"/>
      <c r="P97" s="78"/>
      <c r="Q97" s="16"/>
    </row>
    <row r="98" spans="1:17" s="8" customFormat="1" ht="13.8" x14ac:dyDescent="0.3">
      <c r="A98" s="75"/>
      <c r="B98" s="16" t="s">
        <v>143</v>
      </c>
      <c r="C98" s="16">
        <v>0</v>
      </c>
      <c r="D98" s="16"/>
      <c r="E98" s="127" t="s">
        <v>32</v>
      </c>
      <c r="F98" s="127"/>
      <c r="G98" s="16">
        <f>C91</f>
        <v>3</v>
      </c>
      <c r="H98" s="80">
        <f t="shared" ref="H98:H104" si="5">P6</f>
        <v>0</v>
      </c>
      <c r="I98" s="43"/>
      <c r="J98" s="14"/>
      <c r="K98" s="74"/>
      <c r="L98" s="74"/>
      <c r="M98" s="74"/>
      <c r="N98" s="74"/>
      <c r="O98" s="78"/>
      <c r="P98" s="78"/>
      <c r="Q98" s="16"/>
    </row>
    <row r="99" spans="1:17" s="8" customFormat="1" ht="13.8" x14ac:dyDescent="0.3">
      <c r="A99" s="75"/>
      <c r="B99" s="39" t="s">
        <v>144</v>
      </c>
      <c r="C99" s="16">
        <f>SUM(H68)</f>
        <v>0</v>
      </c>
      <c r="D99" s="16"/>
      <c r="E99" s="131" t="s">
        <v>145</v>
      </c>
      <c r="F99" s="131"/>
      <c r="G99" s="16">
        <f>C103</f>
        <v>0</v>
      </c>
      <c r="H99" s="80">
        <f t="shared" si="5"/>
        <v>0</v>
      </c>
      <c r="I99" s="43"/>
      <c r="J99" s="78"/>
      <c r="K99" s="78"/>
      <c r="L99" s="74"/>
      <c r="M99" s="74"/>
      <c r="N99" s="74"/>
      <c r="O99" s="78"/>
      <c r="P99" s="78"/>
      <c r="Q99" s="76"/>
    </row>
    <row r="100" spans="1:17" s="8" customFormat="1" ht="13.8" x14ac:dyDescent="0.3">
      <c r="A100" s="75"/>
      <c r="B100" s="39" t="s">
        <v>146</v>
      </c>
      <c r="C100" s="16">
        <f>H80</f>
        <v>0</v>
      </c>
      <c r="D100" s="16"/>
      <c r="E100" s="127" t="s">
        <v>47</v>
      </c>
      <c r="F100" s="127"/>
      <c r="G100" s="16">
        <f t="shared" ref="G100:G105" si="6">C92</f>
        <v>1</v>
      </c>
      <c r="H100" s="80">
        <f t="shared" si="5"/>
        <v>0</v>
      </c>
      <c r="I100" s="43"/>
      <c r="J100" s="14"/>
      <c r="K100" s="74"/>
      <c r="L100" s="74"/>
      <c r="M100" s="74"/>
      <c r="N100" s="74"/>
      <c r="O100" s="78"/>
      <c r="P100" s="78"/>
      <c r="Q100" s="16"/>
    </row>
    <row r="101" spans="1:17" s="8" customFormat="1" ht="13.8" x14ac:dyDescent="0.3">
      <c r="A101" s="75"/>
      <c r="B101" s="15" t="s">
        <v>122</v>
      </c>
      <c r="C101" s="14">
        <f>H82</f>
        <v>4</v>
      </c>
      <c r="D101" s="16"/>
      <c r="E101" s="127" t="s">
        <v>147</v>
      </c>
      <c r="F101" s="127"/>
      <c r="G101" s="16">
        <f t="shared" si="6"/>
        <v>0</v>
      </c>
      <c r="H101" s="80">
        <f t="shared" si="5"/>
        <v>0</v>
      </c>
      <c r="I101" s="43"/>
      <c r="J101" s="16"/>
      <c r="K101" s="74"/>
      <c r="L101" s="74"/>
      <c r="M101" s="74"/>
      <c r="N101" s="74"/>
      <c r="O101" s="78"/>
      <c r="P101" s="78"/>
      <c r="Q101" s="16"/>
    </row>
    <row r="102" spans="1:17" s="8" customFormat="1" ht="13.8" x14ac:dyDescent="0.3">
      <c r="A102" s="75"/>
      <c r="B102" s="39" t="s">
        <v>119</v>
      </c>
      <c r="C102" s="14">
        <f>H78</f>
        <v>0</v>
      </c>
      <c r="D102" s="16"/>
      <c r="E102" s="127" t="str">
        <f>B94</f>
        <v>KSD DAY</v>
      </c>
      <c r="F102" s="127"/>
      <c r="G102" s="16">
        <f t="shared" si="6"/>
        <v>20</v>
      </c>
      <c r="H102" s="80">
        <f t="shared" si="5"/>
        <v>0</v>
      </c>
      <c r="I102" s="43"/>
      <c r="J102" s="16"/>
      <c r="K102" s="74"/>
      <c r="L102" s="74"/>
      <c r="M102" s="74"/>
      <c r="N102" s="74"/>
      <c r="O102" s="78"/>
      <c r="P102" s="78"/>
      <c r="Q102" s="16"/>
    </row>
    <row r="103" spans="1:17" s="8" customFormat="1" ht="13.8" x14ac:dyDescent="0.3">
      <c r="A103" s="75"/>
      <c r="B103" s="39" t="s">
        <v>145</v>
      </c>
      <c r="C103" s="14">
        <f>H70</f>
        <v>0</v>
      </c>
      <c r="D103" s="16"/>
      <c r="E103" s="127" t="str">
        <f>B95</f>
        <v>KSD NIGHT</v>
      </c>
      <c r="F103" s="127"/>
      <c r="G103" s="16">
        <f t="shared" si="6"/>
        <v>14</v>
      </c>
      <c r="H103" s="80">
        <f t="shared" si="5"/>
        <v>0</v>
      </c>
      <c r="I103" s="43"/>
      <c r="J103" s="16"/>
      <c r="K103" s="74"/>
      <c r="L103" s="74"/>
      <c r="M103" s="74"/>
      <c r="N103" s="74"/>
      <c r="O103" s="78"/>
      <c r="P103" s="78"/>
      <c r="Q103" s="16"/>
    </row>
    <row r="104" spans="1:17" s="8" customFormat="1" ht="13.8" x14ac:dyDescent="0.3">
      <c r="A104" s="75"/>
      <c r="B104" s="15" t="s">
        <v>148</v>
      </c>
      <c r="C104" s="16">
        <f>H10</f>
        <v>0</v>
      </c>
      <c r="D104" s="16"/>
      <c r="E104" s="127" t="str">
        <f>B96</f>
        <v>KSD THIRD PARTY</v>
      </c>
      <c r="F104" s="127"/>
      <c r="G104" s="16">
        <f t="shared" si="6"/>
        <v>10</v>
      </c>
      <c r="H104" s="80">
        <f t="shared" si="5"/>
        <v>0</v>
      </c>
      <c r="I104" s="43"/>
      <c r="J104" s="16"/>
      <c r="K104" s="74"/>
      <c r="L104" s="74"/>
      <c r="M104" s="74"/>
      <c r="N104" s="74"/>
      <c r="O104" s="78"/>
      <c r="P104" s="78"/>
      <c r="Q104" s="16"/>
    </row>
    <row r="105" spans="1:17" s="8" customFormat="1" ht="13.8" x14ac:dyDescent="0.3">
      <c r="A105" s="75"/>
      <c r="B105" s="81" t="s">
        <v>149</v>
      </c>
      <c r="C105" s="81">
        <f>SUM(C91:C104)</f>
        <v>56</v>
      </c>
      <c r="D105" s="14"/>
      <c r="E105" s="127" t="str">
        <f>B97</f>
        <v xml:space="preserve">CATERING STAFF AT RIG </v>
      </c>
      <c r="F105" s="127"/>
      <c r="G105" s="16">
        <f t="shared" si="6"/>
        <v>4</v>
      </c>
      <c r="H105" s="80">
        <f t="shared" ref="H105:H110" si="7">P14</f>
        <v>0</v>
      </c>
      <c r="I105" s="43"/>
      <c r="J105" s="16"/>
      <c r="K105" s="74"/>
      <c r="L105" s="74"/>
      <c r="M105" s="74"/>
      <c r="N105" s="74"/>
      <c r="O105" s="78"/>
      <c r="P105" s="78"/>
      <c r="Q105" s="16"/>
    </row>
    <row r="106" spans="1:17" s="8" customFormat="1" ht="13.8" x14ac:dyDescent="0.3">
      <c r="A106" s="75"/>
      <c r="B106" s="15"/>
      <c r="C106" s="14"/>
      <c r="D106" s="16"/>
      <c r="E106" s="127" t="str">
        <f>B99</f>
        <v>KSD  VISITORS</v>
      </c>
      <c r="F106" s="127"/>
      <c r="G106" s="16">
        <f>C99</f>
        <v>0</v>
      </c>
      <c r="H106" s="80">
        <f t="shared" si="7"/>
        <v>0</v>
      </c>
      <c r="I106" s="43"/>
      <c r="J106" s="16"/>
      <c r="K106" s="74"/>
      <c r="L106" s="74"/>
      <c r="M106" s="74"/>
      <c r="N106" s="74"/>
      <c r="O106" s="78"/>
      <c r="P106" s="78"/>
      <c r="Q106" s="16"/>
    </row>
    <row r="107" spans="1:17" s="8" customFormat="1" ht="13.8" x14ac:dyDescent="0.3">
      <c r="A107" s="75"/>
      <c r="B107" s="82"/>
      <c r="C107" s="82"/>
      <c r="D107" s="14"/>
      <c r="E107" s="127" t="str">
        <f>B100</f>
        <v>ILM TLR DVR &amp; HELP</v>
      </c>
      <c r="F107" s="127"/>
      <c r="G107" s="16">
        <f>C100</f>
        <v>0</v>
      </c>
      <c r="H107" s="80">
        <f t="shared" si="7"/>
        <v>0</v>
      </c>
      <c r="I107" s="43"/>
      <c r="J107" s="16"/>
      <c r="K107" s="74"/>
      <c r="L107" s="74"/>
      <c r="M107" s="74"/>
      <c r="N107" s="74"/>
      <c r="O107" s="78"/>
      <c r="P107" s="78"/>
      <c r="Q107" s="16"/>
    </row>
    <row r="108" spans="1:17" s="8" customFormat="1" ht="13.8" x14ac:dyDescent="0.3">
      <c r="A108" s="75"/>
      <c r="B108" s="82"/>
      <c r="C108" s="82"/>
      <c r="D108" s="14"/>
      <c r="E108" s="127" t="str">
        <f>B102</f>
        <v>ILM CRANE</v>
      </c>
      <c r="F108" s="127"/>
      <c r="G108" s="16">
        <f>C102</f>
        <v>0</v>
      </c>
      <c r="H108" s="80">
        <f t="shared" si="7"/>
        <v>0</v>
      </c>
      <c r="I108" s="43"/>
      <c r="J108" s="16"/>
      <c r="K108" s="74"/>
      <c r="L108" s="74"/>
      <c r="M108" s="74"/>
      <c r="N108" s="74"/>
      <c r="O108" s="78"/>
      <c r="P108" s="78"/>
      <c r="Q108" s="16"/>
    </row>
    <row r="109" spans="1:17" s="8" customFormat="1" ht="13.8" x14ac:dyDescent="0.3">
      <c r="A109" s="43"/>
      <c r="B109" s="82"/>
      <c r="C109" s="53"/>
      <c r="D109" s="14"/>
      <c r="E109" s="127" t="str">
        <f>B104</f>
        <v xml:space="preserve">VEDANTA VISITOR </v>
      </c>
      <c r="F109" s="127"/>
      <c r="G109" s="16">
        <f>C104</f>
        <v>0</v>
      </c>
      <c r="H109" s="80">
        <f t="shared" si="7"/>
        <v>0</v>
      </c>
      <c r="I109" s="43"/>
      <c r="J109" s="16"/>
      <c r="K109" s="74"/>
      <c r="L109" s="74"/>
      <c r="M109" s="74"/>
      <c r="N109" s="74"/>
      <c r="O109" s="78"/>
      <c r="P109" s="78"/>
      <c r="Q109" s="16"/>
    </row>
    <row r="110" spans="1:17" s="8" customFormat="1" ht="13.8" x14ac:dyDescent="0.3">
      <c r="A110" s="43"/>
      <c r="B110" s="82"/>
      <c r="C110" s="82"/>
      <c r="D110" s="16"/>
      <c r="E110" s="127" t="s">
        <v>122</v>
      </c>
      <c r="F110" s="127"/>
      <c r="G110" s="16">
        <f>C101</f>
        <v>4</v>
      </c>
      <c r="H110" s="80">
        <f t="shared" si="7"/>
        <v>0</v>
      </c>
      <c r="I110" s="43"/>
      <c r="J110" s="16"/>
      <c r="K110" s="74"/>
      <c r="L110" s="74"/>
      <c r="M110" s="74"/>
      <c r="N110" s="74"/>
      <c r="O110" s="78"/>
      <c r="P110" s="78"/>
      <c r="Q110" s="16"/>
    </row>
    <row r="111" spans="1:17" s="8" customFormat="1" ht="13.8" x14ac:dyDescent="0.3">
      <c r="A111" s="43"/>
      <c r="B111" s="82"/>
      <c r="C111" s="82"/>
      <c r="D111" s="16"/>
      <c r="E111" s="128" t="s">
        <v>150</v>
      </c>
      <c r="F111" s="128"/>
      <c r="G111" s="13">
        <f>SUM(G98:G110)</f>
        <v>56</v>
      </c>
      <c r="H111" s="38">
        <f>SUM(H98:H110)</f>
        <v>0</v>
      </c>
      <c r="I111" s="43"/>
      <c r="J111" s="16"/>
      <c r="K111" s="74"/>
      <c r="L111" s="74"/>
      <c r="M111" s="74"/>
      <c r="N111" s="74"/>
      <c r="O111" s="78"/>
      <c r="P111" s="78"/>
      <c r="Q111" s="16"/>
    </row>
    <row r="112" spans="1:17" s="8" customFormat="1" ht="13.8" x14ac:dyDescent="0.3">
      <c r="A112" s="43"/>
      <c r="B112" s="82"/>
      <c r="C112" s="82"/>
      <c r="D112" s="16"/>
      <c r="E112" s="128" t="s">
        <v>151</v>
      </c>
      <c r="F112" s="128"/>
      <c r="G112" s="13">
        <f>(G111-H111)</f>
        <v>56</v>
      </c>
      <c r="H112" s="38">
        <f>SUM(H99:H111)</f>
        <v>0</v>
      </c>
      <c r="I112" s="43"/>
      <c r="J112" s="16"/>
      <c r="K112" s="74"/>
      <c r="L112" s="74"/>
      <c r="M112" s="74"/>
      <c r="N112" s="74"/>
      <c r="O112" s="14"/>
      <c r="P112" s="14"/>
      <c r="Q112" s="16"/>
    </row>
    <row r="114" spans="1:16" s="85" customFormat="1" x14ac:dyDescent="0.3">
      <c r="A114" s="83"/>
      <c r="B114" s="83"/>
      <c r="C114" s="83"/>
      <c r="D114" s="84"/>
      <c r="J114"/>
      <c r="K114"/>
      <c r="L114"/>
      <c r="M114"/>
      <c r="N114"/>
      <c r="O114"/>
      <c r="P114"/>
    </row>
    <row r="117" spans="1:16" s="85" customFormat="1" x14ac:dyDescent="0.3">
      <c r="A117" s="83"/>
      <c r="B117" s="83"/>
      <c r="C117" s="83"/>
      <c r="D117" s="84"/>
      <c r="E117" s="83"/>
      <c r="F117" s="83"/>
      <c r="G117" s="83"/>
      <c r="H117" s="83"/>
      <c r="I117"/>
      <c r="J117"/>
      <c r="K117"/>
      <c r="L117"/>
      <c r="M117"/>
      <c r="N117"/>
      <c r="O117"/>
      <c r="P117" s="129"/>
    </row>
    <row r="118" spans="1:16" s="85" customFormat="1" x14ac:dyDescent="0.3">
      <c r="E118" s="83"/>
      <c r="F118" s="83"/>
      <c r="G118" s="83"/>
      <c r="H118" s="83"/>
      <c r="I118"/>
      <c r="P118" s="129"/>
    </row>
  </sheetData>
  <mergeCells count="54">
    <mergeCell ref="P117:P118"/>
    <mergeCell ref="B90:C90"/>
    <mergeCell ref="E90:F91"/>
    <mergeCell ref="G90:H91"/>
    <mergeCell ref="E93:I93"/>
    <mergeCell ref="G94:H94"/>
    <mergeCell ref="E95:E96"/>
    <mergeCell ref="F95:F96"/>
    <mergeCell ref="G95:H96"/>
    <mergeCell ref="I95:I96"/>
    <mergeCell ref="E99:F99"/>
    <mergeCell ref="E100:F100"/>
    <mergeCell ref="E103:F103"/>
    <mergeCell ref="E104:F104"/>
    <mergeCell ref="E101:F101"/>
    <mergeCell ref="E102:F102"/>
    <mergeCell ref="E97:F97"/>
    <mergeCell ref="E98:F98"/>
    <mergeCell ref="E111:F111"/>
    <mergeCell ref="E112:F112"/>
    <mergeCell ref="E105:F105"/>
    <mergeCell ref="E106:F106"/>
    <mergeCell ref="E107:F107"/>
    <mergeCell ref="E108:F108"/>
    <mergeCell ref="E109:F109"/>
    <mergeCell ref="E110:F110"/>
    <mergeCell ref="A11:Q11"/>
    <mergeCell ref="A40:Q40"/>
    <mergeCell ref="A67:Q67"/>
    <mergeCell ref="A69:Q69"/>
    <mergeCell ref="A71:Q71"/>
    <mergeCell ref="A87:Q87"/>
    <mergeCell ref="A81:Q81"/>
    <mergeCell ref="A14:Q14"/>
    <mergeCell ref="A16:Q16"/>
    <mergeCell ref="A24:Q24"/>
    <mergeCell ref="A77:Q77"/>
    <mergeCell ref="A79:Q79"/>
    <mergeCell ref="M5:N5"/>
    <mergeCell ref="Q1:Q4"/>
    <mergeCell ref="F2:G2"/>
    <mergeCell ref="H2:I2"/>
    <mergeCell ref="F3:G3"/>
    <mergeCell ref="H3:I3"/>
    <mergeCell ref="K3:N3"/>
    <mergeCell ref="F4:G4"/>
    <mergeCell ref="H4:J4"/>
    <mergeCell ref="K4:N4"/>
    <mergeCell ref="P1:P3"/>
    <mergeCell ref="A1:D4"/>
    <mergeCell ref="F1:G1"/>
    <mergeCell ref="H1:I1"/>
    <mergeCell ref="K1:N2"/>
    <mergeCell ref="O1:O3"/>
  </mergeCells>
  <pageMargins left="0.7" right="0.7" top="0.75" bottom="0.75" header="0.3" footer="0.3"/>
  <headerFooter>
    <oddFooter>&amp;C_x000D_&amp;1#&amp;"Aptos"&amp;6&amp;KC0C0C0 Sensitivity: Public (C4)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B64A-0762-4787-99F5-FC64C23C1A6D}">
  <dimension ref="A1:Q144"/>
  <sheetViews>
    <sheetView tabSelected="1" topLeftCell="A62" workbookViewId="0">
      <selection activeCell="C44" sqref="C44"/>
    </sheetView>
  </sheetViews>
  <sheetFormatPr defaultRowHeight="14.4" x14ac:dyDescent="0.3"/>
  <cols>
    <col min="1" max="1" width="5.33203125" style="83" bestFit="1" customWidth="1"/>
    <col min="2" max="2" width="27.5546875" style="83" bestFit="1" customWidth="1"/>
    <col min="3" max="3" width="19.33203125" style="83" bestFit="1" customWidth="1"/>
    <col min="4" max="4" width="7.88671875" style="84" customWidth="1"/>
    <col min="5" max="5" width="20.88671875" style="83" bestFit="1" customWidth="1"/>
    <col min="6" max="6" width="22.44140625" style="83" customWidth="1"/>
    <col min="7" max="7" width="18.88671875" style="83" customWidth="1"/>
    <col min="8" max="8" width="11.5546875" style="83" bestFit="1" customWidth="1"/>
    <col min="9" max="9" width="11.88671875" customWidth="1"/>
    <col min="10" max="10" width="11.33203125" bestFit="1" customWidth="1"/>
    <col min="11" max="11" width="11" bestFit="1" customWidth="1"/>
    <col min="12" max="14" width="4.6640625" customWidth="1"/>
    <col min="15" max="15" width="12.88671875" customWidth="1"/>
    <col min="16" max="16" width="11.44140625" customWidth="1"/>
    <col min="17" max="17" width="31.5546875" style="85" customWidth="1"/>
    <col min="19" max="19" width="16.88671875" bestFit="1" customWidth="1"/>
  </cols>
  <sheetData>
    <row r="1" spans="1:17" ht="16.5" customHeight="1" x14ac:dyDescent="0.3">
      <c r="A1" s="166"/>
      <c r="B1" s="166"/>
      <c r="C1" s="166"/>
      <c r="D1" s="166"/>
      <c r="E1" s="1" t="s">
        <v>0</v>
      </c>
      <c r="F1" s="160" t="s">
        <v>1</v>
      </c>
      <c r="G1" s="160"/>
      <c r="H1" s="161" t="s">
        <v>2</v>
      </c>
      <c r="I1" s="161"/>
      <c r="J1" s="1" t="s">
        <v>152</v>
      </c>
      <c r="K1" s="167" t="s">
        <v>3</v>
      </c>
      <c r="L1" s="167"/>
      <c r="M1" s="167"/>
      <c r="N1" s="167"/>
      <c r="O1" s="168" t="s">
        <v>4</v>
      </c>
      <c r="P1" s="168" t="s">
        <v>5</v>
      </c>
      <c r="Q1" s="159">
        <v>43917</v>
      </c>
    </row>
    <row r="2" spans="1:17" x14ac:dyDescent="0.3">
      <c r="A2" s="166"/>
      <c r="B2" s="166"/>
      <c r="C2" s="166"/>
      <c r="D2" s="166"/>
      <c r="E2" s="1" t="s">
        <v>6</v>
      </c>
      <c r="F2" s="160" t="s">
        <v>153</v>
      </c>
      <c r="G2" s="160"/>
      <c r="H2" s="161" t="s">
        <v>7</v>
      </c>
      <c r="I2" s="161"/>
      <c r="J2" s="1">
        <f>C131</f>
        <v>81</v>
      </c>
      <c r="K2" s="167"/>
      <c r="L2" s="167"/>
      <c r="M2" s="167"/>
      <c r="N2" s="167"/>
      <c r="O2" s="168"/>
      <c r="P2" s="168"/>
      <c r="Q2" s="159"/>
    </row>
    <row r="3" spans="1:17" ht="18" x14ac:dyDescent="0.35">
      <c r="A3" s="166"/>
      <c r="B3" s="166"/>
      <c r="C3" s="166"/>
      <c r="D3" s="166"/>
      <c r="E3" s="1" t="s">
        <v>8</v>
      </c>
      <c r="F3" s="162" t="s">
        <v>9</v>
      </c>
      <c r="G3" s="162"/>
      <c r="H3" s="161" t="s">
        <v>10</v>
      </c>
      <c r="I3" s="161"/>
      <c r="J3" s="3">
        <f>E121</f>
        <v>25</v>
      </c>
      <c r="K3" s="163">
        <v>56</v>
      </c>
      <c r="L3" s="163"/>
      <c r="M3" s="163"/>
      <c r="N3" s="163"/>
      <c r="O3" s="168"/>
      <c r="P3" s="168"/>
      <c r="Q3" s="159"/>
    </row>
    <row r="4" spans="1:17" ht="18" x14ac:dyDescent="0.3">
      <c r="A4" s="166"/>
      <c r="B4" s="166"/>
      <c r="C4" s="166"/>
      <c r="D4" s="166"/>
      <c r="E4" s="1" t="s">
        <v>11</v>
      </c>
      <c r="F4" s="161"/>
      <c r="G4" s="161"/>
      <c r="H4" s="164" t="s">
        <v>12</v>
      </c>
      <c r="I4" s="164"/>
      <c r="J4" s="164"/>
      <c r="K4" s="165">
        <v>46144</v>
      </c>
      <c r="L4" s="165"/>
      <c r="M4" s="165"/>
      <c r="N4" s="165"/>
      <c r="O4" s="2"/>
      <c r="P4" s="4"/>
      <c r="Q4" s="159"/>
    </row>
    <row r="5" spans="1:17" s="8" customFormat="1" ht="13.8" x14ac:dyDescent="0.3">
      <c r="A5" s="5" t="s">
        <v>13</v>
      </c>
      <c r="B5" s="6" t="s">
        <v>14</v>
      </c>
      <c r="C5" s="5" t="s">
        <v>15</v>
      </c>
      <c r="D5" s="5" t="s">
        <v>16</v>
      </c>
      <c r="E5" s="5" t="s">
        <v>17</v>
      </c>
      <c r="F5" s="5" t="s">
        <v>1</v>
      </c>
      <c r="G5" s="5" t="s">
        <v>18</v>
      </c>
      <c r="H5" s="7" t="s">
        <v>19</v>
      </c>
      <c r="I5" s="5" t="s">
        <v>20</v>
      </c>
      <c r="J5" s="5" t="s">
        <v>21</v>
      </c>
      <c r="K5" s="5" t="s">
        <v>22</v>
      </c>
      <c r="L5" s="156" t="s">
        <v>23</v>
      </c>
      <c r="M5" s="156"/>
      <c r="N5" s="156"/>
      <c r="O5" s="5" t="s">
        <v>24</v>
      </c>
      <c r="P5" s="5" t="s">
        <v>25</v>
      </c>
      <c r="Q5" s="5" t="s">
        <v>26</v>
      </c>
    </row>
    <row r="6" spans="1:17" s="8" customFormat="1" ht="13.8" x14ac:dyDescent="0.3">
      <c r="A6" s="2" t="s">
        <v>27</v>
      </c>
      <c r="B6" s="2" t="s">
        <v>28</v>
      </c>
      <c r="C6" s="2"/>
      <c r="D6" s="2"/>
      <c r="E6" s="2" t="s">
        <v>29</v>
      </c>
      <c r="F6" s="9"/>
      <c r="G6" s="9"/>
      <c r="H6" s="10">
        <f>COUNT(A7:A9)</f>
        <v>3</v>
      </c>
      <c r="I6" s="2"/>
      <c r="J6" s="11"/>
      <c r="K6" s="12"/>
      <c r="L6" s="2">
        <f>COUNTA(L7:L9)</f>
        <v>3</v>
      </c>
      <c r="M6" s="2">
        <f>COUNTA(M7:M9)</f>
        <v>2</v>
      </c>
      <c r="N6" s="2">
        <f>COUNTA(N7:N9)</f>
        <v>2</v>
      </c>
      <c r="O6" s="13">
        <v>0</v>
      </c>
      <c r="P6" s="13">
        <v>0</v>
      </c>
      <c r="Q6" s="2"/>
    </row>
    <row r="7" spans="1:17" s="20" customFormat="1" ht="13.8" x14ac:dyDescent="0.3">
      <c r="A7" s="14">
        <v>1</v>
      </c>
      <c r="B7" s="86" t="s">
        <v>154</v>
      </c>
      <c r="C7" s="16" t="s">
        <v>30</v>
      </c>
      <c r="D7" s="17" t="s">
        <v>31</v>
      </c>
      <c r="E7" s="14" t="s">
        <v>32</v>
      </c>
      <c r="F7" s="18" t="s">
        <v>33</v>
      </c>
      <c r="G7" s="16" t="s">
        <v>34</v>
      </c>
      <c r="H7" s="19">
        <v>46139</v>
      </c>
      <c r="I7" s="14">
        <f>IF(H7="",0,$K$4-H7+1)</f>
        <v>6</v>
      </c>
      <c r="J7" s="14" t="s">
        <v>35</v>
      </c>
      <c r="K7" s="14"/>
      <c r="L7" s="14" t="s">
        <v>36</v>
      </c>
      <c r="M7" s="14" t="s">
        <v>37</v>
      </c>
      <c r="N7" s="14" t="s">
        <v>31</v>
      </c>
      <c r="O7" s="44"/>
      <c r="P7" s="44"/>
      <c r="Q7" s="14"/>
    </row>
    <row r="8" spans="1:17" s="20" customFormat="1" ht="13.8" x14ac:dyDescent="0.3">
      <c r="A8" s="14">
        <v>2</v>
      </c>
      <c r="B8" s="21" t="s">
        <v>155</v>
      </c>
      <c r="C8" s="16" t="s">
        <v>38</v>
      </c>
      <c r="D8" s="22" t="s">
        <v>39</v>
      </c>
      <c r="E8" s="14" t="s">
        <v>32</v>
      </c>
      <c r="F8" s="18" t="s">
        <v>33</v>
      </c>
      <c r="G8" s="16" t="s">
        <v>40</v>
      </c>
      <c r="H8" s="19">
        <v>46135</v>
      </c>
      <c r="I8" s="14">
        <f>IF(H8="",0,$K$4-H8+1)</f>
        <v>10</v>
      </c>
      <c r="J8" s="14" t="s">
        <v>35</v>
      </c>
      <c r="K8" s="14"/>
      <c r="L8" s="14" t="s">
        <v>36</v>
      </c>
      <c r="M8" s="14"/>
      <c r="N8" s="14" t="s">
        <v>31</v>
      </c>
      <c r="O8" s="14"/>
      <c r="P8" s="14"/>
      <c r="Q8" s="14"/>
    </row>
    <row r="9" spans="1:17" s="20" customFormat="1" ht="13.8" x14ac:dyDescent="0.3">
      <c r="A9" s="14">
        <v>3</v>
      </c>
      <c r="B9" s="15" t="s">
        <v>181</v>
      </c>
      <c r="C9" s="16" t="s">
        <v>42</v>
      </c>
      <c r="D9" s="17" t="s">
        <v>31</v>
      </c>
      <c r="E9" s="14" t="s">
        <v>32</v>
      </c>
      <c r="F9" s="18" t="s">
        <v>43</v>
      </c>
      <c r="G9" s="23" t="s">
        <v>44</v>
      </c>
      <c r="H9" s="19">
        <v>46144</v>
      </c>
      <c r="I9" s="14">
        <f>IF(H9="",0,$K$4-H9+1)</f>
        <v>1</v>
      </c>
      <c r="J9" s="14" t="s">
        <v>35</v>
      </c>
      <c r="K9" s="14"/>
      <c r="L9" s="14" t="s">
        <v>36</v>
      </c>
      <c r="M9" s="14" t="s">
        <v>37</v>
      </c>
      <c r="N9" s="14"/>
      <c r="O9" s="14"/>
      <c r="P9" s="14"/>
      <c r="Q9" s="14"/>
    </row>
    <row r="10" spans="1:17" s="8" customFormat="1" ht="13.8" x14ac:dyDescent="0.3">
      <c r="A10" s="13"/>
      <c r="B10" s="13" t="s">
        <v>46</v>
      </c>
      <c r="C10" s="13"/>
      <c r="D10" s="24"/>
      <c r="E10" s="13" t="s">
        <v>32</v>
      </c>
      <c r="F10" s="25"/>
      <c r="G10" s="25"/>
      <c r="H10" s="10">
        <f>COUNT(#REF!)</f>
        <v>0</v>
      </c>
      <c r="I10" s="13"/>
      <c r="J10" s="26"/>
      <c r="K10" s="27"/>
      <c r="L10" s="2">
        <f>COUNTA(#REF!)</f>
        <v>1</v>
      </c>
      <c r="M10" s="2">
        <f>COUNTA(#REF!)</f>
        <v>1</v>
      </c>
      <c r="N10" s="2">
        <f>COUNTA(#REF!)</f>
        <v>1</v>
      </c>
      <c r="O10" s="13">
        <f>COUNTA(O11:O11)</f>
        <v>0</v>
      </c>
      <c r="P10" s="13">
        <f>COUNTA(P11:P11)</f>
        <v>0</v>
      </c>
      <c r="Q10" s="13"/>
    </row>
    <row r="11" spans="1:17" s="8" customFormat="1" ht="13.8" x14ac:dyDescent="0.3">
      <c r="A11" s="138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40"/>
    </row>
    <row r="12" spans="1:17" s="8" customFormat="1" ht="13.8" x14ac:dyDescent="0.3">
      <c r="A12" s="30"/>
      <c r="B12" s="30" t="s">
        <v>47</v>
      </c>
      <c r="C12" s="30"/>
      <c r="D12" s="31"/>
      <c r="E12" s="30" t="s">
        <v>32</v>
      </c>
      <c r="F12" s="32"/>
      <c r="G12" s="32"/>
      <c r="H12" s="10">
        <f>COUNT(A13:A13)</f>
        <v>0</v>
      </c>
      <c r="I12" s="30"/>
      <c r="J12" s="33"/>
      <c r="K12" s="34"/>
      <c r="L12" s="2">
        <f>COUNTA(L13:L13)</f>
        <v>0</v>
      </c>
      <c r="M12" s="2">
        <f t="shared" ref="M12:N12" si="0">COUNTA(M13:M13)</f>
        <v>1</v>
      </c>
      <c r="N12" s="2">
        <f t="shared" si="0"/>
        <v>1</v>
      </c>
      <c r="O12" s="30">
        <v>0</v>
      </c>
      <c r="P12" s="30">
        <v>0</v>
      </c>
      <c r="Q12" s="30"/>
    </row>
    <row r="13" spans="1:17" s="8" customFormat="1" ht="13.8" x14ac:dyDescent="0.3">
      <c r="A13" s="14"/>
      <c r="B13" s="14" t="s">
        <v>156</v>
      </c>
      <c r="C13" s="14" t="s">
        <v>157</v>
      </c>
      <c r="D13" s="42" t="s">
        <v>54</v>
      </c>
      <c r="E13" s="14" t="s">
        <v>158</v>
      </c>
      <c r="F13" s="18" t="s">
        <v>33</v>
      </c>
      <c r="G13" s="23" t="s">
        <v>159</v>
      </c>
      <c r="H13" s="19">
        <v>46140</v>
      </c>
      <c r="I13" s="14">
        <f>IF(H13="",0,$K$4-H13+1)</f>
        <v>5</v>
      </c>
      <c r="J13" s="14" t="s">
        <v>35</v>
      </c>
      <c r="K13" s="54"/>
      <c r="L13" s="14"/>
      <c r="M13" s="14" t="s">
        <v>37</v>
      </c>
      <c r="N13" s="14" t="s">
        <v>31</v>
      </c>
      <c r="O13" s="14"/>
      <c r="P13" s="14"/>
      <c r="Q13" s="14"/>
    </row>
    <row r="14" spans="1:17" s="8" customFormat="1" ht="13.8" x14ac:dyDescent="0.3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40"/>
    </row>
    <row r="15" spans="1:17" s="8" customFormat="1" ht="13.8" x14ac:dyDescent="0.3">
      <c r="A15" s="35"/>
      <c r="B15" s="35" t="s">
        <v>48</v>
      </c>
      <c r="C15" s="35"/>
      <c r="D15" s="35"/>
      <c r="E15" s="35" t="s">
        <v>29</v>
      </c>
      <c r="F15" s="36" t="s">
        <v>49</v>
      </c>
      <c r="G15" s="36"/>
      <c r="H15" s="87">
        <f>COUNT(#REF!)</f>
        <v>0</v>
      </c>
      <c r="I15" s="35"/>
      <c r="J15" s="35"/>
      <c r="K15" s="37"/>
      <c r="L15" s="88">
        <f>COUNTA(#REF!)</f>
        <v>1</v>
      </c>
      <c r="M15" s="88">
        <f>COUNTA(#REF!)</f>
        <v>1</v>
      </c>
      <c r="N15" s="88">
        <f>COUNTA(#REF!)</f>
        <v>1</v>
      </c>
      <c r="O15" s="35">
        <f>COUNTA(O16:O16)</f>
        <v>0</v>
      </c>
      <c r="P15" s="35">
        <f>COUNTA(P16:P16)</f>
        <v>0</v>
      </c>
      <c r="Q15" s="35"/>
    </row>
    <row r="16" spans="1:17" s="8" customFormat="1" ht="13.8" x14ac:dyDescent="0.3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</row>
    <row r="17" spans="1:17" s="8" customFormat="1" ht="13.8" x14ac:dyDescent="0.3">
      <c r="A17" s="13"/>
      <c r="B17" s="13" t="s">
        <v>50</v>
      </c>
      <c r="C17" s="13"/>
      <c r="D17" s="13"/>
      <c r="E17" s="13" t="s">
        <v>51</v>
      </c>
      <c r="F17" s="25" t="s">
        <v>49</v>
      </c>
      <c r="G17" s="25"/>
      <c r="H17" s="38">
        <f>COUNT(A18:A23)</f>
        <v>6</v>
      </c>
      <c r="I17" s="13"/>
      <c r="J17" s="26"/>
      <c r="K17" s="27"/>
      <c r="L17" s="13">
        <f>COUNTA(L18:L24)</f>
        <v>6</v>
      </c>
      <c r="M17" s="13">
        <f>COUNTA(M18:M24)</f>
        <v>6</v>
      </c>
      <c r="N17" s="13">
        <f>COUNTA(N18:N24)</f>
        <v>6</v>
      </c>
      <c r="O17" s="13">
        <f>COUNTA(O18:O23)</f>
        <v>0</v>
      </c>
      <c r="P17" s="13">
        <f>COUNTA(P18:P23)</f>
        <v>0</v>
      </c>
      <c r="Q17" s="13"/>
    </row>
    <row r="18" spans="1:17" s="8" customFormat="1" ht="13.8" x14ac:dyDescent="0.3">
      <c r="A18" s="16">
        <v>1</v>
      </c>
      <c r="B18" s="39" t="s">
        <v>52</v>
      </c>
      <c r="C18" s="14" t="s">
        <v>53</v>
      </c>
      <c r="D18" s="40" t="s">
        <v>54</v>
      </c>
      <c r="E18" s="16" t="s">
        <v>51</v>
      </c>
      <c r="F18" s="18" t="s">
        <v>33</v>
      </c>
      <c r="G18" s="23" t="s">
        <v>55</v>
      </c>
      <c r="H18" s="19">
        <v>46128</v>
      </c>
      <c r="I18" s="14">
        <f t="shared" ref="I18:I23" si="1">IF(H18="",0,$K$4-H18+1)</f>
        <v>17</v>
      </c>
      <c r="J18" s="41" t="s">
        <v>35</v>
      </c>
      <c r="K18" s="14"/>
      <c r="L18" s="14" t="s">
        <v>36</v>
      </c>
      <c r="M18" s="14" t="s">
        <v>37</v>
      </c>
      <c r="N18" s="14" t="s">
        <v>31</v>
      </c>
      <c r="O18" s="14"/>
      <c r="P18" s="14"/>
      <c r="Q18" s="14"/>
    </row>
    <row r="19" spans="1:17" s="8" customFormat="1" ht="13.8" x14ac:dyDescent="0.3">
      <c r="A19" s="16">
        <v>2</v>
      </c>
      <c r="B19" s="39" t="s">
        <v>56</v>
      </c>
      <c r="C19" s="14" t="s">
        <v>57</v>
      </c>
      <c r="D19" s="40" t="s">
        <v>54</v>
      </c>
      <c r="E19" s="16" t="s">
        <v>51</v>
      </c>
      <c r="F19" s="18" t="s">
        <v>33</v>
      </c>
      <c r="G19" s="23" t="s">
        <v>55</v>
      </c>
      <c r="H19" s="19">
        <v>46129</v>
      </c>
      <c r="I19" s="14">
        <f t="shared" si="1"/>
        <v>16</v>
      </c>
      <c r="J19" s="41" t="s">
        <v>35</v>
      </c>
      <c r="K19" s="14"/>
      <c r="L19" s="14" t="s">
        <v>36</v>
      </c>
      <c r="M19" s="14" t="s">
        <v>37</v>
      </c>
      <c r="N19" s="14" t="s">
        <v>31</v>
      </c>
      <c r="O19" s="14"/>
      <c r="P19" s="14"/>
      <c r="Q19" s="14"/>
    </row>
    <row r="20" spans="1:17" s="8" customFormat="1" ht="13.8" x14ac:dyDescent="0.3">
      <c r="A20" s="16">
        <v>3</v>
      </c>
      <c r="B20" s="39" t="s">
        <v>178</v>
      </c>
      <c r="C20" s="42" t="s">
        <v>179</v>
      </c>
      <c r="D20" s="40" t="s">
        <v>54</v>
      </c>
      <c r="E20" s="16" t="s">
        <v>58</v>
      </c>
      <c r="F20" s="16" t="s">
        <v>59</v>
      </c>
      <c r="G20" s="23" t="s">
        <v>44</v>
      </c>
      <c r="H20" s="19">
        <v>46143</v>
      </c>
      <c r="I20" s="14">
        <f t="shared" si="1"/>
        <v>2</v>
      </c>
      <c r="J20" s="41" t="s">
        <v>35</v>
      </c>
      <c r="K20" s="14"/>
      <c r="L20" s="14" t="s">
        <v>36</v>
      </c>
      <c r="M20" s="14" t="s">
        <v>37</v>
      </c>
      <c r="N20" s="14" t="s">
        <v>31</v>
      </c>
      <c r="O20" s="14"/>
      <c r="P20" s="14"/>
      <c r="Q20" s="14"/>
    </row>
    <row r="21" spans="1:17" s="8" customFormat="1" ht="13.8" x14ac:dyDescent="0.3">
      <c r="A21" s="16">
        <v>4</v>
      </c>
      <c r="B21" s="39" t="s">
        <v>180</v>
      </c>
      <c r="C21" s="42" t="s">
        <v>60</v>
      </c>
      <c r="D21" s="40" t="s">
        <v>54</v>
      </c>
      <c r="E21" s="16" t="s">
        <v>58</v>
      </c>
      <c r="F21" s="16" t="s">
        <v>59</v>
      </c>
      <c r="G21" s="23" t="s">
        <v>44</v>
      </c>
      <c r="H21" s="19">
        <v>46144</v>
      </c>
      <c r="I21" s="14">
        <f t="shared" si="1"/>
        <v>1</v>
      </c>
      <c r="J21" s="41" t="s">
        <v>35</v>
      </c>
      <c r="K21" s="14"/>
      <c r="L21" s="14" t="s">
        <v>36</v>
      </c>
      <c r="M21" s="14" t="s">
        <v>37</v>
      </c>
      <c r="N21" s="14" t="s">
        <v>31</v>
      </c>
      <c r="O21" s="14"/>
      <c r="P21" s="14"/>
      <c r="Q21" s="43"/>
    </row>
    <row r="22" spans="1:17" s="8" customFormat="1" ht="13.8" x14ac:dyDescent="0.3">
      <c r="A22" s="16">
        <v>5</v>
      </c>
      <c r="B22" s="39" t="s">
        <v>61</v>
      </c>
      <c r="C22" s="42" t="s">
        <v>62</v>
      </c>
      <c r="D22" s="40" t="s">
        <v>54</v>
      </c>
      <c r="E22" s="16" t="s">
        <v>58</v>
      </c>
      <c r="F22" s="16" t="s">
        <v>59</v>
      </c>
      <c r="G22" s="23" t="s">
        <v>44</v>
      </c>
      <c r="H22" s="19">
        <v>46135</v>
      </c>
      <c r="I22" s="14">
        <f t="shared" si="1"/>
        <v>10</v>
      </c>
      <c r="J22" s="41" t="s">
        <v>35</v>
      </c>
      <c r="K22" s="14"/>
      <c r="L22" s="14" t="s">
        <v>36</v>
      </c>
      <c r="M22" s="14" t="s">
        <v>37</v>
      </c>
      <c r="N22" s="14" t="s">
        <v>31</v>
      </c>
      <c r="O22" s="14"/>
      <c r="P22" s="44"/>
      <c r="Q22" s="45"/>
    </row>
    <row r="23" spans="1:17" s="8" customFormat="1" ht="13.8" x14ac:dyDescent="0.3">
      <c r="A23" s="16">
        <v>6</v>
      </c>
      <c r="B23" s="39" t="s">
        <v>160</v>
      </c>
      <c r="C23" s="42" t="s">
        <v>63</v>
      </c>
      <c r="D23" s="40" t="s">
        <v>54</v>
      </c>
      <c r="E23" s="16" t="s">
        <v>58</v>
      </c>
      <c r="F23" s="18" t="s">
        <v>33</v>
      </c>
      <c r="G23" s="23" t="s">
        <v>64</v>
      </c>
      <c r="H23" s="19">
        <v>46134</v>
      </c>
      <c r="I23" s="14">
        <f t="shared" si="1"/>
        <v>11</v>
      </c>
      <c r="J23" s="41" t="s">
        <v>35</v>
      </c>
      <c r="K23" s="14"/>
      <c r="L23" s="14" t="s">
        <v>36</v>
      </c>
      <c r="M23" s="14" t="s">
        <v>37</v>
      </c>
      <c r="N23" s="14" t="s">
        <v>31</v>
      </c>
      <c r="O23" s="14"/>
      <c r="P23" s="44"/>
      <c r="Q23" s="45"/>
    </row>
    <row r="24" spans="1:17" s="8" customFormat="1" ht="15" customHeight="1" x14ac:dyDescent="0.3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</row>
    <row r="25" spans="1:17" s="47" customFormat="1" ht="12.75" customHeight="1" x14ac:dyDescent="0.3">
      <c r="A25" s="13"/>
      <c r="B25" s="13" t="s">
        <v>65</v>
      </c>
      <c r="C25" s="13"/>
      <c r="D25" s="13"/>
      <c r="E25" s="13" t="s">
        <v>51</v>
      </c>
      <c r="F25" s="25"/>
      <c r="G25" s="25"/>
      <c r="H25" s="38">
        <f>COUNT(A26:A39)</f>
        <v>14</v>
      </c>
      <c r="I25" s="13"/>
      <c r="J25" s="46"/>
      <c r="K25" s="13"/>
      <c r="L25" s="13">
        <f>COUNTA(L26:L39)</f>
        <v>14</v>
      </c>
      <c r="M25" s="13">
        <f>COUNTA(M26:M39)</f>
        <v>14</v>
      </c>
      <c r="N25" s="13">
        <f>COUNTA(N26:N39)</f>
        <v>14</v>
      </c>
      <c r="O25" s="13">
        <f>COUNTA(O26:O39)</f>
        <v>0</v>
      </c>
      <c r="P25" s="13">
        <f>COUNTA(P26:P39)</f>
        <v>0</v>
      </c>
      <c r="Q25" s="13"/>
    </row>
    <row r="26" spans="1:17" s="47" customFormat="1" ht="12.75" customHeight="1" x14ac:dyDescent="0.3">
      <c r="A26" s="14">
        <v>1</v>
      </c>
      <c r="B26" s="14" t="s">
        <v>161</v>
      </c>
      <c r="C26" s="48" t="s">
        <v>66</v>
      </c>
      <c r="D26" s="17" t="s">
        <v>31</v>
      </c>
      <c r="E26" s="14" t="s">
        <v>51</v>
      </c>
      <c r="F26" s="18" t="s">
        <v>33</v>
      </c>
      <c r="G26" s="16" t="s">
        <v>67</v>
      </c>
      <c r="H26" s="19">
        <v>46135</v>
      </c>
      <c r="I26" s="14">
        <f t="shared" ref="I26:I39" si="2">IF(H26="",0,$K$4-H26+1)</f>
        <v>10</v>
      </c>
      <c r="J26" s="14" t="s">
        <v>35</v>
      </c>
      <c r="K26" s="14"/>
      <c r="L26" s="14" t="s">
        <v>36</v>
      </c>
      <c r="M26" s="14" t="s">
        <v>37</v>
      </c>
      <c r="N26" s="14" t="s">
        <v>31</v>
      </c>
      <c r="O26" s="14"/>
      <c r="P26" s="14"/>
      <c r="Q26" s="14"/>
    </row>
    <row r="27" spans="1:17" s="47" customFormat="1" ht="12.75" customHeight="1" x14ac:dyDescent="0.3">
      <c r="A27" s="14">
        <v>2</v>
      </c>
      <c r="B27" s="48" t="s">
        <v>87</v>
      </c>
      <c r="C27" s="48" t="s">
        <v>68</v>
      </c>
      <c r="D27" s="17" t="s">
        <v>31</v>
      </c>
      <c r="E27" s="14" t="s">
        <v>58</v>
      </c>
      <c r="F27" s="16" t="s">
        <v>59</v>
      </c>
      <c r="G27" s="23" t="s">
        <v>44</v>
      </c>
      <c r="H27" s="19">
        <v>46128</v>
      </c>
      <c r="I27" s="14">
        <f t="shared" si="2"/>
        <v>17</v>
      </c>
      <c r="J27" s="14" t="s">
        <v>35</v>
      </c>
      <c r="K27" s="14"/>
      <c r="L27" s="14" t="s">
        <v>36</v>
      </c>
      <c r="M27" s="14" t="s">
        <v>37</v>
      </c>
      <c r="N27" s="14" t="s">
        <v>31</v>
      </c>
      <c r="O27" s="16"/>
      <c r="P27" s="16"/>
      <c r="Q27" s="16"/>
    </row>
    <row r="28" spans="1:17" s="47" customFormat="1" ht="12.75" customHeight="1" x14ac:dyDescent="0.3">
      <c r="A28" s="14">
        <v>3</v>
      </c>
      <c r="B28" s="48" t="s">
        <v>162</v>
      </c>
      <c r="C28" s="48" t="s">
        <v>70</v>
      </c>
      <c r="D28" s="17" t="s">
        <v>31</v>
      </c>
      <c r="E28" s="14" t="s">
        <v>58</v>
      </c>
      <c r="F28" s="16" t="s">
        <v>59</v>
      </c>
      <c r="G28" s="23" t="s">
        <v>44</v>
      </c>
      <c r="H28" s="19">
        <v>46138</v>
      </c>
      <c r="I28" s="14">
        <f t="shared" si="2"/>
        <v>7</v>
      </c>
      <c r="J28" s="14" t="s">
        <v>35</v>
      </c>
      <c r="K28" s="14"/>
      <c r="L28" s="14" t="s">
        <v>36</v>
      </c>
      <c r="M28" s="14" t="s">
        <v>37</v>
      </c>
      <c r="N28" s="14" t="s">
        <v>31</v>
      </c>
      <c r="O28" s="16"/>
      <c r="P28" s="16"/>
      <c r="Q28" s="49"/>
    </row>
    <row r="29" spans="1:17" s="47" customFormat="1" ht="12.75" customHeight="1" x14ac:dyDescent="0.3">
      <c r="A29" s="14">
        <v>4</v>
      </c>
      <c r="B29" s="48" t="s">
        <v>163</v>
      </c>
      <c r="C29" s="48" t="s">
        <v>72</v>
      </c>
      <c r="D29" s="17" t="s">
        <v>31</v>
      </c>
      <c r="E29" s="14" t="s">
        <v>58</v>
      </c>
      <c r="F29" s="16" t="s">
        <v>59</v>
      </c>
      <c r="G29" s="23" t="s">
        <v>44</v>
      </c>
      <c r="H29" s="19">
        <v>46135</v>
      </c>
      <c r="I29" s="14">
        <f t="shared" si="2"/>
        <v>10</v>
      </c>
      <c r="J29" s="14" t="s">
        <v>35</v>
      </c>
      <c r="K29" s="14"/>
      <c r="L29" s="14" t="s">
        <v>36</v>
      </c>
      <c r="M29" s="14" t="s">
        <v>37</v>
      </c>
      <c r="N29" s="14" t="s">
        <v>31</v>
      </c>
      <c r="O29" s="16"/>
      <c r="P29" s="16"/>
      <c r="Q29" s="49"/>
    </row>
    <row r="30" spans="1:17" s="47" customFormat="1" ht="12.75" customHeight="1" x14ac:dyDescent="0.3">
      <c r="A30" s="14">
        <v>5</v>
      </c>
      <c r="B30" s="48" t="s">
        <v>164</v>
      </c>
      <c r="C30" s="48" t="s">
        <v>74</v>
      </c>
      <c r="D30" s="17" t="s">
        <v>31</v>
      </c>
      <c r="E30" s="14" t="s">
        <v>58</v>
      </c>
      <c r="F30" s="16" t="s">
        <v>59</v>
      </c>
      <c r="G30" s="23" t="s">
        <v>44</v>
      </c>
      <c r="H30" s="19">
        <v>46138</v>
      </c>
      <c r="I30" s="14">
        <f t="shared" si="2"/>
        <v>7</v>
      </c>
      <c r="J30" s="14" t="s">
        <v>35</v>
      </c>
      <c r="K30" s="50"/>
      <c r="L30" s="14" t="s">
        <v>36</v>
      </c>
      <c r="M30" s="14" t="s">
        <v>37</v>
      </c>
      <c r="N30" s="14" t="s">
        <v>31</v>
      </c>
      <c r="O30" s="16"/>
      <c r="P30" s="16"/>
      <c r="Q30" s="16"/>
    </row>
    <row r="31" spans="1:17" s="47" customFormat="1" ht="12.75" customHeight="1" x14ac:dyDescent="0.3">
      <c r="A31" s="14">
        <v>6</v>
      </c>
      <c r="B31" s="48" t="s">
        <v>165</v>
      </c>
      <c r="C31" s="48" t="s">
        <v>74</v>
      </c>
      <c r="D31" s="17" t="s">
        <v>31</v>
      </c>
      <c r="E31" s="14" t="s">
        <v>58</v>
      </c>
      <c r="F31" s="16" t="s">
        <v>59</v>
      </c>
      <c r="G31" s="23" t="s">
        <v>44</v>
      </c>
      <c r="H31" s="19">
        <v>46138</v>
      </c>
      <c r="I31" s="14">
        <f t="shared" si="2"/>
        <v>7</v>
      </c>
      <c r="J31" s="14" t="s">
        <v>35</v>
      </c>
      <c r="K31" s="50"/>
      <c r="L31" s="14" t="s">
        <v>36</v>
      </c>
      <c r="M31" s="14" t="s">
        <v>37</v>
      </c>
      <c r="N31" s="14" t="s">
        <v>31</v>
      </c>
      <c r="O31" s="16"/>
      <c r="P31" s="16"/>
      <c r="Q31" s="16"/>
    </row>
    <row r="32" spans="1:17" s="47" customFormat="1" ht="12.75" customHeight="1" x14ac:dyDescent="0.3">
      <c r="A32" s="14">
        <v>7</v>
      </c>
      <c r="B32" s="48" t="s">
        <v>166</v>
      </c>
      <c r="C32" s="48" t="s">
        <v>74</v>
      </c>
      <c r="D32" s="17" t="s">
        <v>31</v>
      </c>
      <c r="E32" s="14" t="s">
        <v>58</v>
      </c>
      <c r="F32" s="16" t="s">
        <v>59</v>
      </c>
      <c r="G32" s="23" t="s">
        <v>44</v>
      </c>
      <c r="H32" s="19">
        <v>46138</v>
      </c>
      <c r="I32" s="14">
        <f t="shared" si="2"/>
        <v>7</v>
      </c>
      <c r="J32" s="14" t="s">
        <v>35</v>
      </c>
      <c r="K32" s="50"/>
      <c r="L32" s="14" t="s">
        <v>36</v>
      </c>
      <c r="M32" s="14" t="s">
        <v>37</v>
      </c>
      <c r="N32" s="14" t="s">
        <v>31</v>
      </c>
      <c r="O32" s="16"/>
      <c r="P32" s="16"/>
      <c r="Q32" s="16"/>
    </row>
    <row r="33" spans="1:17" s="47" customFormat="1" ht="12.75" customHeight="1" x14ac:dyDescent="0.3">
      <c r="A33" s="14">
        <v>8</v>
      </c>
      <c r="B33" s="48" t="s">
        <v>77</v>
      </c>
      <c r="C33" s="48" t="s">
        <v>74</v>
      </c>
      <c r="D33" s="17" t="s">
        <v>31</v>
      </c>
      <c r="E33" s="14" t="s">
        <v>58</v>
      </c>
      <c r="F33" s="16" t="s">
        <v>59</v>
      </c>
      <c r="G33" s="23" t="s">
        <v>44</v>
      </c>
      <c r="H33" s="19">
        <v>46132</v>
      </c>
      <c r="I33" s="14">
        <f t="shared" si="2"/>
        <v>13</v>
      </c>
      <c r="J33" s="14" t="s">
        <v>35</v>
      </c>
      <c r="K33" s="50"/>
      <c r="L33" s="14" t="s">
        <v>36</v>
      </c>
      <c r="M33" s="14" t="s">
        <v>37</v>
      </c>
      <c r="N33" s="14" t="s">
        <v>31</v>
      </c>
      <c r="O33" s="16"/>
      <c r="P33" s="16"/>
      <c r="Q33" s="16"/>
    </row>
    <row r="34" spans="1:17" s="47" customFormat="1" ht="12.75" customHeight="1" x14ac:dyDescent="0.3">
      <c r="A34" s="14">
        <v>9</v>
      </c>
      <c r="B34" s="48" t="s">
        <v>167</v>
      </c>
      <c r="C34" s="48" t="s">
        <v>79</v>
      </c>
      <c r="D34" s="17" t="s">
        <v>31</v>
      </c>
      <c r="E34" s="14" t="s">
        <v>58</v>
      </c>
      <c r="F34" s="16" t="s">
        <v>59</v>
      </c>
      <c r="G34" s="23" t="s">
        <v>44</v>
      </c>
      <c r="H34" s="19">
        <v>46138</v>
      </c>
      <c r="I34" s="14">
        <f t="shared" si="2"/>
        <v>7</v>
      </c>
      <c r="J34" s="14" t="s">
        <v>35</v>
      </c>
      <c r="K34" s="14"/>
      <c r="L34" s="14" t="s">
        <v>36</v>
      </c>
      <c r="M34" s="14" t="s">
        <v>37</v>
      </c>
      <c r="N34" s="14" t="s">
        <v>31</v>
      </c>
      <c r="O34" s="16"/>
      <c r="P34" s="16"/>
      <c r="Q34" s="16"/>
    </row>
    <row r="35" spans="1:17" s="47" customFormat="1" ht="12.75" customHeight="1" x14ac:dyDescent="0.3">
      <c r="A35" s="14">
        <v>10</v>
      </c>
      <c r="B35" s="48" t="s">
        <v>168</v>
      </c>
      <c r="C35" s="48" t="s">
        <v>79</v>
      </c>
      <c r="D35" s="17" t="s">
        <v>31</v>
      </c>
      <c r="E35" s="14" t="s">
        <v>58</v>
      </c>
      <c r="F35" s="16" t="s">
        <v>59</v>
      </c>
      <c r="G35" s="23" t="s">
        <v>44</v>
      </c>
      <c r="H35" s="19">
        <v>46140</v>
      </c>
      <c r="I35" s="14">
        <f t="shared" si="2"/>
        <v>5</v>
      </c>
      <c r="J35" s="14" t="s">
        <v>35</v>
      </c>
      <c r="K35" s="14"/>
      <c r="L35" s="14" t="s">
        <v>36</v>
      </c>
      <c r="M35" s="14" t="s">
        <v>37</v>
      </c>
      <c r="N35" s="14" t="s">
        <v>31</v>
      </c>
      <c r="O35" s="16"/>
      <c r="P35" s="16"/>
      <c r="Q35" s="16"/>
    </row>
    <row r="36" spans="1:17" s="47" customFormat="1" ht="12.75" customHeight="1" x14ac:dyDescent="0.3">
      <c r="A36" s="14">
        <v>11</v>
      </c>
      <c r="B36" s="48" t="s">
        <v>71</v>
      </c>
      <c r="C36" s="48" t="s">
        <v>79</v>
      </c>
      <c r="D36" s="17" t="s">
        <v>31</v>
      </c>
      <c r="E36" s="14" t="s">
        <v>58</v>
      </c>
      <c r="F36" s="16" t="s">
        <v>59</v>
      </c>
      <c r="G36" s="23" t="s">
        <v>44</v>
      </c>
      <c r="H36" s="19">
        <v>46139</v>
      </c>
      <c r="I36" s="14">
        <f t="shared" si="2"/>
        <v>6</v>
      </c>
      <c r="J36" s="14" t="s">
        <v>35</v>
      </c>
      <c r="K36" s="14"/>
      <c r="L36" s="14" t="s">
        <v>36</v>
      </c>
      <c r="M36" s="14" t="s">
        <v>37</v>
      </c>
      <c r="N36" s="14" t="s">
        <v>31</v>
      </c>
      <c r="O36" s="16"/>
      <c r="P36" s="16"/>
      <c r="Q36" s="16"/>
    </row>
    <row r="37" spans="1:17" s="47" customFormat="1" ht="12.75" customHeight="1" x14ac:dyDescent="0.3">
      <c r="A37" s="14">
        <v>12</v>
      </c>
      <c r="B37" s="48" t="s">
        <v>217</v>
      </c>
      <c r="C37" s="48" t="s">
        <v>79</v>
      </c>
      <c r="D37" s="17" t="s">
        <v>31</v>
      </c>
      <c r="E37" s="14" t="s">
        <v>58</v>
      </c>
      <c r="F37" s="16" t="s">
        <v>59</v>
      </c>
      <c r="G37" s="23" t="s">
        <v>44</v>
      </c>
      <c r="H37" s="19">
        <v>46143</v>
      </c>
      <c r="I37" s="14">
        <f t="shared" si="2"/>
        <v>2</v>
      </c>
      <c r="J37" s="14" t="s">
        <v>35</v>
      </c>
      <c r="K37" s="14"/>
      <c r="L37" s="14" t="s">
        <v>36</v>
      </c>
      <c r="M37" s="14" t="s">
        <v>37</v>
      </c>
      <c r="N37" s="14" t="s">
        <v>31</v>
      </c>
      <c r="O37" s="16"/>
      <c r="P37" s="16"/>
      <c r="Q37" s="16"/>
    </row>
    <row r="38" spans="1:17" s="47" customFormat="1" ht="12.75" customHeight="1" x14ac:dyDescent="0.3">
      <c r="A38" s="14">
        <v>13</v>
      </c>
      <c r="B38" s="48" t="s">
        <v>81</v>
      </c>
      <c r="C38" s="51" t="s">
        <v>82</v>
      </c>
      <c r="D38" s="17" t="s">
        <v>31</v>
      </c>
      <c r="E38" s="14" t="s">
        <v>58</v>
      </c>
      <c r="F38" s="16" t="s">
        <v>59</v>
      </c>
      <c r="G38" s="23" t="s">
        <v>44</v>
      </c>
      <c r="H38" s="19">
        <v>46128</v>
      </c>
      <c r="I38" s="14">
        <f t="shared" si="2"/>
        <v>17</v>
      </c>
      <c r="J38" s="14" t="s">
        <v>35</v>
      </c>
      <c r="K38" s="14"/>
      <c r="L38" s="14" t="s">
        <v>36</v>
      </c>
      <c r="M38" s="14" t="s">
        <v>37</v>
      </c>
      <c r="N38" s="14" t="s">
        <v>31</v>
      </c>
      <c r="O38" s="16"/>
      <c r="P38" s="16"/>
      <c r="Q38" s="16"/>
    </row>
    <row r="39" spans="1:17" s="47" customFormat="1" ht="12.75" customHeight="1" x14ac:dyDescent="0.3">
      <c r="A39" s="14">
        <v>14</v>
      </c>
      <c r="B39" s="48" t="s">
        <v>169</v>
      </c>
      <c r="C39" s="51" t="s">
        <v>84</v>
      </c>
      <c r="D39" s="17" t="s">
        <v>31</v>
      </c>
      <c r="E39" s="14" t="s">
        <v>58</v>
      </c>
      <c r="F39" s="16" t="s">
        <v>59</v>
      </c>
      <c r="G39" s="23" t="s">
        <v>44</v>
      </c>
      <c r="H39" s="19">
        <v>46140</v>
      </c>
      <c r="I39" s="14">
        <f t="shared" si="2"/>
        <v>5</v>
      </c>
      <c r="J39" s="14" t="s">
        <v>35</v>
      </c>
      <c r="K39" s="14"/>
      <c r="L39" s="14" t="s">
        <v>36</v>
      </c>
      <c r="M39" s="14" t="s">
        <v>37</v>
      </c>
      <c r="N39" s="14" t="s">
        <v>31</v>
      </c>
      <c r="O39" s="16"/>
      <c r="P39" s="16"/>
      <c r="Q39" s="16"/>
    </row>
    <row r="40" spans="1:17" s="8" customFormat="1" ht="13.8" x14ac:dyDescent="0.3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</row>
    <row r="41" spans="1:17" s="8" customFormat="1" ht="13.8" x14ac:dyDescent="0.3">
      <c r="A41" s="13"/>
      <c r="B41" s="13" t="s">
        <v>85</v>
      </c>
      <c r="C41" s="13" t="s">
        <v>49</v>
      </c>
      <c r="D41" s="13"/>
      <c r="E41" s="13" t="s">
        <v>51</v>
      </c>
      <c r="F41" s="25" t="s">
        <v>49</v>
      </c>
      <c r="G41" s="25"/>
      <c r="H41" s="38">
        <f>COUNT(A41:A55)</f>
        <v>14</v>
      </c>
      <c r="I41" s="13"/>
      <c r="J41" s="26"/>
      <c r="K41" s="27"/>
      <c r="L41" s="13">
        <f>COUNTA(L42:L55)</f>
        <v>14</v>
      </c>
      <c r="M41" s="13">
        <f>COUNTA(M42:M55)</f>
        <v>14</v>
      </c>
      <c r="N41" s="13">
        <f>COUNTA(N42:N55)</f>
        <v>14</v>
      </c>
      <c r="O41" s="13">
        <f>COUNTA(O42:O55)</f>
        <v>0</v>
      </c>
      <c r="P41" s="13">
        <f>COUNTA(P42:P55)</f>
        <v>0</v>
      </c>
      <c r="Q41" s="13"/>
    </row>
    <row r="42" spans="1:17" s="8" customFormat="1" ht="13.8" x14ac:dyDescent="0.3">
      <c r="A42" s="14">
        <v>1</v>
      </c>
      <c r="B42" s="52" t="s">
        <v>170</v>
      </c>
      <c r="C42" s="48" t="s">
        <v>86</v>
      </c>
      <c r="D42" s="22" t="s">
        <v>39</v>
      </c>
      <c r="E42" s="14" t="s">
        <v>58</v>
      </c>
      <c r="F42" s="16" t="s">
        <v>59</v>
      </c>
      <c r="G42" s="23" t="s">
        <v>44</v>
      </c>
      <c r="H42" s="19">
        <v>46137</v>
      </c>
      <c r="I42" s="14">
        <f t="shared" ref="I42:I55" si="3">IF(H42="",0,$K$4-H42+1)</f>
        <v>8</v>
      </c>
      <c r="J42" s="14" t="s">
        <v>35</v>
      </c>
      <c r="K42" s="14"/>
      <c r="L42" s="14" t="s">
        <v>36</v>
      </c>
      <c r="M42" s="14" t="s">
        <v>37</v>
      </c>
      <c r="N42" s="14" t="s">
        <v>31</v>
      </c>
      <c r="O42" s="14"/>
      <c r="P42" s="14"/>
      <c r="Q42" s="14"/>
    </row>
    <row r="43" spans="1:17" s="47" customFormat="1" ht="12.75" customHeight="1" x14ac:dyDescent="0.3">
      <c r="A43" s="14">
        <v>2</v>
      </c>
      <c r="B43" s="48" t="s">
        <v>171</v>
      </c>
      <c r="C43" s="48" t="s">
        <v>68</v>
      </c>
      <c r="D43" s="22" t="s">
        <v>39</v>
      </c>
      <c r="E43" s="14" t="s">
        <v>58</v>
      </c>
      <c r="F43" s="16" t="s">
        <v>59</v>
      </c>
      <c r="G43" s="23" t="s">
        <v>44</v>
      </c>
      <c r="H43" s="19">
        <v>46134</v>
      </c>
      <c r="I43" s="14">
        <f t="shared" si="3"/>
        <v>11</v>
      </c>
      <c r="J43" s="14" t="s">
        <v>35</v>
      </c>
      <c r="K43" s="14"/>
      <c r="L43" s="14" t="s">
        <v>36</v>
      </c>
      <c r="M43" s="14" t="s">
        <v>37</v>
      </c>
      <c r="N43" s="14" t="s">
        <v>31</v>
      </c>
      <c r="O43" s="16"/>
      <c r="P43" s="16"/>
      <c r="Q43" s="16"/>
    </row>
    <row r="44" spans="1:17" s="47" customFormat="1" ht="12.75" customHeight="1" x14ac:dyDescent="0.3">
      <c r="A44" s="14">
        <v>3</v>
      </c>
      <c r="B44" s="48" t="s">
        <v>69</v>
      </c>
      <c r="C44" s="48" t="s">
        <v>70</v>
      </c>
      <c r="D44" s="22" t="s">
        <v>39</v>
      </c>
      <c r="E44" s="14" t="s">
        <v>58</v>
      </c>
      <c r="F44" s="16" t="s">
        <v>59</v>
      </c>
      <c r="G44" s="23" t="s">
        <v>44</v>
      </c>
      <c r="H44" s="19">
        <v>46128</v>
      </c>
      <c r="I44" s="14">
        <f t="shared" si="3"/>
        <v>17</v>
      </c>
      <c r="J44" s="14" t="s">
        <v>35</v>
      </c>
      <c r="K44" s="14"/>
      <c r="L44" s="14" t="s">
        <v>36</v>
      </c>
      <c r="M44" s="14" t="s">
        <v>37</v>
      </c>
      <c r="N44" s="14" t="s">
        <v>31</v>
      </c>
      <c r="O44" s="16"/>
      <c r="P44" s="16"/>
      <c r="Q44" s="49"/>
    </row>
    <row r="45" spans="1:17" s="47" customFormat="1" ht="12.75" customHeight="1" x14ac:dyDescent="0.3">
      <c r="A45" s="14">
        <v>4</v>
      </c>
      <c r="B45" s="48" t="s">
        <v>71</v>
      </c>
      <c r="C45" s="48" t="s">
        <v>72</v>
      </c>
      <c r="D45" s="22" t="s">
        <v>39</v>
      </c>
      <c r="E45" s="14" t="s">
        <v>58</v>
      </c>
      <c r="F45" s="16" t="s">
        <v>59</v>
      </c>
      <c r="G45" s="23" t="s">
        <v>44</v>
      </c>
      <c r="H45" s="19">
        <v>46128</v>
      </c>
      <c r="I45" s="14">
        <f t="shared" si="3"/>
        <v>17</v>
      </c>
      <c r="J45" s="14" t="s">
        <v>35</v>
      </c>
      <c r="K45" s="14"/>
      <c r="L45" s="14" t="s">
        <v>36</v>
      </c>
      <c r="M45" s="14" t="s">
        <v>37</v>
      </c>
      <c r="N45" s="14" t="s">
        <v>31</v>
      </c>
      <c r="O45" s="16"/>
      <c r="P45" s="16"/>
      <c r="Q45" s="49"/>
    </row>
    <row r="46" spans="1:17" s="47" customFormat="1" ht="12.75" customHeight="1" x14ac:dyDescent="0.3">
      <c r="A46" s="14">
        <v>5</v>
      </c>
      <c r="B46" s="48" t="s">
        <v>73</v>
      </c>
      <c r="C46" s="48" t="s">
        <v>74</v>
      </c>
      <c r="D46" s="22" t="s">
        <v>39</v>
      </c>
      <c r="E46" s="14" t="s">
        <v>58</v>
      </c>
      <c r="F46" s="16" t="s">
        <v>59</v>
      </c>
      <c r="G46" s="23" t="s">
        <v>44</v>
      </c>
      <c r="H46" s="19">
        <v>46125</v>
      </c>
      <c r="I46" s="14">
        <f t="shared" si="3"/>
        <v>20</v>
      </c>
      <c r="J46" s="14" t="s">
        <v>35</v>
      </c>
      <c r="K46" s="50"/>
      <c r="L46" s="14" t="s">
        <v>36</v>
      </c>
      <c r="M46" s="14" t="s">
        <v>37</v>
      </c>
      <c r="N46" s="14" t="s">
        <v>31</v>
      </c>
      <c r="O46" s="16"/>
      <c r="P46" s="16"/>
      <c r="Q46" s="16"/>
    </row>
    <row r="47" spans="1:17" s="47" customFormat="1" ht="12.75" customHeight="1" x14ac:dyDescent="0.3">
      <c r="A47" s="14">
        <v>6</v>
      </c>
      <c r="B47" s="48" t="s">
        <v>75</v>
      </c>
      <c r="C47" s="48" t="s">
        <v>74</v>
      </c>
      <c r="D47" s="22" t="s">
        <v>39</v>
      </c>
      <c r="E47" s="14" t="s">
        <v>58</v>
      </c>
      <c r="F47" s="16" t="s">
        <v>59</v>
      </c>
      <c r="G47" s="23" t="s">
        <v>44</v>
      </c>
      <c r="H47" s="19">
        <v>46131</v>
      </c>
      <c r="I47" s="14">
        <f t="shared" si="3"/>
        <v>14</v>
      </c>
      <c r="J47" s="14" t="s">
        <v>35</v>
      </c>
      <c r="K47" s="50"/>
      <c r="L47" s="14" t="s">
        <v>36</v>
      </c>
      <c r="M47" s="14" t="s">
        <v>37</v>
      </c>
      <c r="N47" s="14" t="s">
        <v>31</v>
      </c>
      <c r="O47" s="16"/>
      <c r="P47" s="16"/>
      <c r="Q47" s="16"/>
    </row>
    <row r="48" spans="1:17" s="47" customFormat="1" ht="12.75" customHeight="1" x14ac:dyDescent="0.3">
      <c r="A48" s="14">
        <v>7</v>
      </c>
      <c r="B48" s="48" t="s">
        <v>76</v>
      </c>
      <c r="C48" s="48" t="s">
        <v>74</v>
      </c>
      <c r="D48" s="22" t="s">
        <v>39</v>
      </c>
      <c r="E48" s="14" t="s">
        <v>58</v>
      </c>
      <c r="F48" s="16" t="s">
        <v>59</v>
      </c>
      <c r="G48" s="23" t="s">
        <v>44</v>
      </c>
      <c r="H48" s="19">
        <v>46128</v>
      </c>
      <c r="I48" s="14">
        <f t="shared" si="3"/>
        <v>17</v>
      </c>
      <c r="J48" s="14" t="s">
        <v>35</v>
      </c>
      <c r="K48" s="50"/>
      <c r="L48" s="14" t="s">
        <v>36</v>
      </c>
      <c r="M48" s="14" t="s">
        <v>37</v>
      </c>
      <c r="N48" s="14" t="s">
        <v>31</v>
      </c>
      <c r="O48" s="16"/>
      <c r="P48" s="16"/>
      <c r="Q48" s="16"/>
    </row>
    <row r="49" spans="1:17" s="47" customFormat="1" ht="12.75" customHeight="1" x14ac:dyDescent="0.3">
      <c r="A49" s="14">
        <v>8</v>
      </c>
      <c r="B49" s="48" t="s">
        <v>172</v>
      </c>
      <c r="C49" s="48" t="s">
        <v>74</v>
      </c>
      <c r="D49" s="22" t="s">
        <v>39</v>
      </c>
      <c r="E49" s="14" t="s">
        <v>58</v>
      </c>
      <c r="F49" s="16" t="s">
        <v>59</v>
      </c>
      <c r="G49" s="23" t="s">
        <v>44</v>
      </c>
      <c r="H49" s="19">
        <v>46138</v>
      </c>
      <c r="I49" s="14">
        <f t="shared" si="3"/>
        <v>7</v>
      </c>
      <c r="J49" s="14" t="s">
        <v>35</v>
      </c>
      <c r="K49" s="50"/>
      <c r="L49" s="14" t="s">
        <v>36</v>
      </c>
      <c r="M49" s="14" t="s">
        <v>37</v>
      </c>
      <c r="N49" s="14" t="s">
        <v>31</v>
      </c>
      <c r="O49" s="16"/>
      <c r="P49" s="16"/>
      <c r="Q49" s="16"/>
    </row>
    <row r="50" spans="1:17" s="47" customFormat="1" ht="12.75" customHeight="1" x14ac:dyDescent="0.3">
      <c r="A50" s="14">
        <v>9</v>
      </c>
      <c r="B50" s="48" t="s">
        <v>80</v>
      </c>
      <c r="C50" s="48" t="s">
        <v>79</v>
      </c>
      <c r="D50" s="22" t="s">
        <v>39</v>
      </c>
      <c r="E50" s="14" t="s">
        <v>58</v>
      </c>
      <c r="F50" s="16" t="s">
        <v>59</v>
      </c>
      <c r="G50" s="23" t="s">
        <v>44</v>
      </c>
      <c r="H50" s="19">
        <v>46128</v>
      </c>
      <c r="I50" s="14">
        <f t="shared" si="3"/>
        <v>17</v>
      </c>
      <c r="J50" s="14" t="s">
        <v>35</v>
      </c>
      <c r="K50" s="14"/>
      <c r="L50" s="14" t="s">
        <v>36</v>
      </c>
      <c r="M50" s="14" t="s">
        <v>37</v>
      </c>
      <c r="N50" s="14" t="s">
        <v>31</v>
      </c>
      <c r="O50" s="16"/>
      <c r="P50" s="16"/>
      <c r="Q50" s="16"/>
    </row>
    <row r="51" spans="1:17" s="47" customFormat="1" ht="12.75" customHeight="1" x14ac:dyDescent="0.3">
      <c r="A51" s="14">
        <v>10</v>
      </c>
      <c r="B51" s="48" t="s">
        <v>78</v>
      </c>
      <c r="C51" s="48" t="s">
        <v>79</v>
      </c>
      <c r="D51" s="22" t="s">
        <v>39</v>
      </c>
      <c r="E51" s="14" t="s">
        <v>58</v>
      </c>
      <c r="F51" s="16" t="s">
        <v>59</v>
      </c>
      <c r="G51" s="23" t="s">
        <v>44</v>
      </c>
      <c r="H51" s="19">
        <v>46128</v>
      </c>
      <c r="I51" s="14">
        <f t="shared" si="3"/>
        <v>17</v>
      </c>
      <c r="J51" s="14" t="s">
        <v>35</v>
      </c>
      <c r="K51" s="14"/>
      <c r="L51" s="14" t="s">
        <v>36</v>
      </c>
      <c r="M51" s="14" t="s">
        <v>37</v>
      </c>
      <c r="N51" s="14" t="s">
        <v>31</v>
      </c>
      <c r="O51" s="16"/>
      <c r="P51" s="16"/>
      <c r="Q51" s="16"/>
    </row>
    <row r="52" spans="1:17" s="47" customFormat="1" ht="12.75" customHeight="1" x14ac:dyDescent="0.3">
      <c r="A52" s="14">
        <v>11</v>
      </c>
      <c r="B52" s="48" t="s">
        <v>177</v>
      </c>
      <c r="C52" s="48" t="s">
        <v>79</v>
      </c>
      <c r="D52" s="22" t="s">
        <v>39</v>
      </c>
      <c r="E52" s="14" t="s">
        <v>58</v>
      </c>
      <c r="F52" s="16" t="s">
        <v>59</v>
      </c>
      <c r="G52" s="23" t="s">
        <v>44</v>
      </c>
      <c r="H52" s="19">
        <v>46143</v>
      </c>
      <c r="I52" s="14">
        <v>1</v>
      </c>
      <c r="J52" s="14" t="s">
        <v>35</v>
      </c>
      <c r="K52" s="14"/>
      <c r="L52" s="14" t="s">
        <v>36</v>
      </c>
      <c r="M52" s="14" t="s">
        <v>37</v>
      </c>
      <c r="N52" s="14" t="s">
        <v>31</v>
      </c>
      <c r="O52" s="16"/>
      <c r="P52" s="16"/>
      <c r="Q52" s="16"/>
    </row>
    <row r="53" spans="1:17" s="47" customFormat="1" ht="12.75" customHeight="1" x14ac:dyDescent="0.3">
      <c r="A53" s="14">
        <v>12</v>
      </c>
      <c r="B53" s="48" t="s">
        <v>173</v>
      </c>
      <c r="C53" s="48" t="s">
        <v>79</v>
      </c>
      <c r="D53" s="22" t="s">
        <v>39</v>
      </c>
      <c r="E53" s="14" t="s">
        <v>58</v>
      </c>
      <c r="F53" s="16" t="s">
        <v>59</v>
      </c>
      <c r="G53" s="23" t="s">
        <v>44</v>
      </c>
      <c r="H53" s="19">
        <v>46134</v>
      </c>
      <c r="I53" s="14">
        <f t="shared" si="3"/>
        <v>11</v>
      </c>
      <c r="J53" s="14" t="s">
        <v>35</v>
      </c>
      <c r="K53" s="14"/>
      <c r="L53" s="14" t="s">
        <v>36</v>
      </c>
      <c r="M53" s="14" t="s">
        <v>37</v>
      </c>
      <c r="N53" s="14" t="s">
        <v>31</v>
      </c>
      <c r="O53" s="16"/>
      <c r="P53" s="16"/>
      <c r="Q53" s="16"/>
    </row>
    <row r="54" spans="1:17" s="47" customFormat="1" ht="12.75" customHeight="1" x14ac:dyDescent="0.3">
      <c r="A54" s="14">
        <v>13</v>
      </c>
      <c r="B54" s="48" t="s">
        <v>182</v>
      </c>
      <c r="C54" s="51" t="s">
        <v>82</v>
      </c>
      <c r="D54" s="22" t="s">
        <v>39</v>
      </c>
      <c r="E54" s="14" t="s">
        <v>58</v>
      </c>
      <c r="F54" s="16" t="s">
        <v>59</v>
      </c>
      <c r="G54" s="23" t="s">
        <v>44</v>
      </c>
      <c r="H54" s="19">
        <v>46144</v>
      </c>
      <c r="I54" s="14">
        <f t="shared" si="3"/>
        <v>1</v>
      </c>
      <c r="J54" s="14" t="s">
        <v>35</v>
      </c>
      <c r="K54" s="14"/>
      <c r="L54" s="14" t="s">
        <v>36</v>
      </c>
      <c r="M54" s="14" t="s">
        <v>37</v>
      </c>
      <c r="N54" s="14" t="s">
        <v>31</v>
      </c>
      <c r="O54" s="16"/>
      <c r="P54" s="16"/>
      <c r="Q54" s="16"/>
    </row>
    <row r="55" spans="1:17" s="47" customFormat="1" ht="12.75" customHeight="1" x14ac:dyDescent="0.3">
      <c r="A55" s="14">
        <v>14</v>
      </c>
      <c r="B55" s="48" t="s">
        <v>83</v>
      </c>
      <c r="C55" s="51" t="s">
        <v>84</v>
      </c>
      <c r="D55" s="22" t="s">
        <v>39</v>
      </c>
      <c r="E55" s="14" t="s">
        <v>58</v>
      </c>
      <c r="F55" s="16" t="s">
        <v>59</v>
      </c>
      <c r="G55" s="23" t="s">
        <v>44</v>
      </c>
      <c r="H55" s="19">
        <v>46128</v>
      </c>
      <c r="I55" s="14">
        <f t="shared" si="3"/>
        <v>17</v>
      </c>
      <c r="J55" s="14" t="s">
        <v>35</v>
      </c>
      <c r="K55" s="14"/>
      <c r="L55" s="14" t="s">
        <v>36</v>
      </c>
      <c r="M55" s="14" t="s">
        <v>37</v>
      </c>
      <c r="N55" s="14" t="s">
        <v>31</v>
      </c>
      <c r="O55" s="16"/>
      <c r="P55" s="16"/>
      <c r="Q55" s="16"/>
    </row>
    <row r="56" spans="1:17" s="8" customFormat="1" ht="13.8" x14ac:dyDescent="0.3">
      <c r="A56" s="13"/>
      <c r="B56" s="13" t="s">
        <v>89</v>
      </c>
      <c r="C56" s="13" t="s">
        <v>49</v>
      </c>
      <c r="D56" s="13" t="s">
        <v>49</v>
      </c>
      <c r="E56" s="13" t="s">
        <v>51</v>
      </c>
      <c r="F56" s="25" t="s">
        <v>49</v>
      </c>
      <c r="G56" s="25"/>
      <c r="H56" s="38">
        <f>COUNT(A57:A67)</f>
        <v>10</v>
      </c>
      <c r="I56" s="13"/>
      <c r="J56" s="27"/>
      <c r="K56" s="27"/>
      <c r="L56" s="13">
        <f>COUNTA(L57:L67)</f>
        <v>7</v>
      </c>
      <c r="M56" s="13">
        <f>COUNTA(M57:M67)</f>
        <v>7</v>
      </c>
      <c r="N56" s="13">
        <f>COUNTA(N57:N67)</f>
        <v>8</v>
      </c>
      <c r="O56" s="13">
        <f>COUNTA(O57:O67)</f>
        <v>0</v>
      </c>
      <c r="P56" s="13">
        <f>COUNTA(P57:P67)</f>
        <v>0</v>
      </c>
      <c r="Q56" s="13"/>
    </row>
    <row r="57" spans="1:17" s="8" customFormat="1" ht="13.8" x14ac:dyDescent="0.3">
      <c r="A57" s="14">
        <v>1</v>
      </c>
      <c r="B57" s="53" t="s">
        <v>174</v>
      </c>
      <c r="C57" s="53" t="s">
        <v>90</v>
      </c>
      <c r="D57" s="40" t="s">
        <v>54</v>
      </c>
      <c r="E57" s="14" t="s">
        <v>91</v>
      </c>
      <c r="F57" s="18" t="s">
        <v>33</v>
      </c>
      <c r="G57" s="16" t="s">
        <v>92</v>
      </c>
      <c r="H57" s="19">
        <v>46135</v>
      </c>
      <c r="I57" s="14">
        <f t="shared" ref="I57:I66" si="4">IF(H57="",0,$K$4-H57+1)</f>
        <v>10</v>
      </c>
      <c r="J57" s="41" t="s">
        <v>35</v>
      </c>
      <c r="K57" s="54">
        <v>8424005261</v>
      </c>
      <c r="L57" s="14" t="s">
        <v>36</v>
      </c>
      <c r="M57" s="14" t="s">
        <v>37</v>
      </c>
      <c r="N57" s="14" t="s">
        <v>31</v>
      </c>
      <c r="O57" s="14"/>
      <c r="P57" s="14"/>
      <c r="Q57" s="14"/>
    </row>
    <row r="58" spans="1:17" s="8" customFormat="1" ht="15.75" customHeight="1" x14ac:dyDescent="0.3">
      <c r="A58" s="14">
        <v>2</v>
      </c>
      <c r="B58" s="55" t="s">
        <v>93</v>
      </c>
      <c r="C58" s="48" t="s">
        <v>94</v>
      </c>
      <c r="D58" s="40" t="s">
        <v>54</v>
      </c>
      <c r="E58" s="14" t="s">
        <v>91</v>
      </c>
      <c r="F58" s="18" t="s">
        <v>33</v>
      </c>
      <c r="G58" s="16" t="s">
        <v>92</v>
      </c>
      <c r="H58" s="19">
        <v>46136</v>
      </c>
      <c r="I58" s="14">
        <f t="shared" si="4"/>
        <v>9</v>
      </c>
      <c r="J58" s="41" t="s">
        <v>35</v>
      </c>
      <c r="K58" s="56"/>
      <c r="L58" s="14" t="s">
        <v>36</v>
      </c>
      <c r="M58" s="14" t="s">
        <v>37</v>
      </c>
      <c r="N58" s="14" t="s">
        <v>31</v>
      </c>
      <c r="O58" s="14"/>
      <c r="P58" s="14"/>
      <c r="Q58" s="14"/>
    </row>
    <row r="59" spans="1:17" s="8" customFormat="1" ht="13.8" x14ac:dyDescent="0.3">
      <c r="A59" s="14">
        <v>3</v>
      </c>
      <c r="B59" s="53" t="s">
        <v>105</v>
      </c>
      <c r="C59" s="53" t="s">
        <v>99</v>
      </c>
      <c r="D59" s="57" t="s">
        <v>31</v>
      </c>
      <c r="E59" s="16" t="s">
        <v>100</v>
      </c>
      <c r="F59" s="23" t="s">
        <v>45</v>
      </c>
      <c r="G59" s="23" t="s">
        <v>44</v>
      </c>
      <c r="H59" s="19">
        <v>46136</v>
      </c>
      <c r="I59" s="14">
        <f t="shared" si="4"/>
        <v>9</v>
      </c>
      <c r="J59" s="41" t="s">
        <v>35</v>
      </c>
      <c r="K59" s="56"/>
      <c r="L59" s="14" t="s">
        <v>36</v>
      </c>
      <c r="M59" s="14" t="s">
        <v>37</v>
      </c>
      <c r="N59" s="14" t="s">
        <v>31</v>
      </c>
      <c r="O59" s="14"/>
      <c r="P59" s="14"/>
      <c r="Q59" s="14"/>
    </row>
    <row r="60" spans="1:17" s="8" customFormat="1" ht="13.8" x14ac:dyDescent="0.3">
      <c r="A60" s="14">
        <v>4</v>
      </c>
      <c r="B60" s="55" t="s">
        <v>106</v>
      </c>
      <c r="C60" s="53" t="s">
        <v>101</v>
      </c>
      <c r="D60" s="57" t="s">
        <v>31</v>
      </c>
      <c r="E60" s="16" t="s">
        <v>100</v>
      </c>
      <c r="F60" s="23" t="s">
        <v>59</v>
      </c>
      <c r="G60" s="23" t="s">
        <v>44</v>
      </c>
      <c r="H60" s="19">
        <v>46136</v>
      </c>
      <c r="I60" s="14">
        <f t="shared" si="4"/>
        <v>9</v>
      </c>
      <c r="J60" s="41" t="s">
        <v>35</v>
      </c>
      <c r="K60" s="56"/>
      <c r="L60" s="14" t="s">
        <v>36</v>
      </c>
      <c r="M60" s="14" t="s">
        <v>37</v>
      </c>
      <c r="N60" s="14" t="s">
        <v>31</v>
      </c>
      <c r="O60" s="14"/>
      <c r="P60" s="14"/>
      <c r="Q60" s="14"/>
    </row>
    <row r="61" spans="1:17" s="8" customFormat="1" ht="13.8" x14ac:dyDescent="0.3">
      <c r="A61" s="14">
        <v>5</v>
      </c>
      <c r="B61" s="55" t="s">
        <v>108</v>
      </c>
      <c r="C61" s="53" t="s">
        <v>103</v>
      </c>
      <c r="D61" s="57" t="s">
        <v>31</v>
      </c>
      <c r="E61" s="16" t="s">
        <v>104</v>
      </c>
      <c r="F61" s="23" t="s">
        <v>45</v>
      </c>
      <c r="G61" s="23" t="s">
        <v>44</v>
      </c>
      <c r="H61" s="19">
        <v>46138</v>
      </c>
      <c r="I61" s="14">
        <f t="shared" si="4"/>
        <v>7</v>
      </c>
      <c r="J61" s="41" t="s">
        <v>35</v>
      </c>
      <c r="K61" s="56"/>
      <c r="L61" s="14" t="s">
        <v>36</v>
      </c>
      <c r="M61" s="14" t="s">
        <v>37</v>
      </c>
      <c r="N61" s="14"/>
      <c r="O61" s="14"/>
      <c r="P61" s="14"/>
      <c r="Q61" s="14"/>
    </row>
    <row r="62" spans="1:17" s="8" customFormat="1" ht="13.8" x14ac:dyDescent="0.3">
      <c r="A62" s="14">
        <v>6</v>
      </c>
      <c r="B62" s="53" t="s">
        <v>95</v>
      </c>
      <c r="C62" s="53" t="s">
        <v>96</v>
      </c>
      <c r="D62" s="57" t="s">
        <v>31</v>
      </c>
      <c r="E62" s="16" t="s">
        <v>97</v>
      </c>
      <c r="F62" s="23" t="s">
        <v>45</v>
      </c>
      <c r="G62" s="23" t="s">
        <v>44</v>
      </c>
      <c r="H62" s="19">
        <v>46136</v>
      </c>
      <c r="I62" s="14">
        <f t="shared" si="4"/>
        <v>9</v>
      </c>
      <c r="J62" s="41" t="s">
        <v>35</v>
      </c>
      <c r="K62" s="56"/>
      <c r="L62" s="14" t="s">
        <v>36</v>
      </c>
      <c r="M62" s="14" t="s">
        <v>37</v>
      </c>
      <c r="N62" s="14"/>
      <c r="O62" s="14"/>
      <c r="P62" s="14"/>
      <c r="Q62" s="14"/>
    </row>
    <row r="63" spans="1:17" s="8" customFormat="1" ht="13.8" x14ac:dyDescent="0.3">
      <c r="A63" s="14">
        <v>7</v>
      </c>
      <c r="B63" s="55" t="s">
        <v>107</v>
      </c>
      <c r="C63" s="53" t="s">
        <v>96</v>
      </c>
      <c r="D63" s="22" t="s">
        <v>39</v>
      </c>
      <c r="E63" s="16" t="s">
        <v>97</v>
      </c>
      <c r="F63" s="23" t="s">
        <v>45</v>
      </c>
      <c r="G63" s="23" t="s">
        <v>44</v>
      </c>
      <c r="H63" s="19">
        <v>46138</v>
      </c>
      <c r="I63" s="14">
        <f t="shared" si="4"/>
        <v>7</v>
      </c>
      <c r="J63" s="41" t="s">
        <v>35</v>
      </c>
      <c r="K63" s="56"/>
      <c r="L63" s="14"/>
      <c r="M63" s="14"/>
      <c r="N63" s="14" t="s">
        <v>31</v>
      </c>
      <c r="O63" s="14"/>
      <c r="P63" s="14"/>
      <c r="Q63" s="14"/>
    </row>
    <row r="64" spans="1:17" s="8" customFormat="1" ht="13.8" x14ac:dyDescent="0.3">
      <c r="A64" s="14">
        <v>8</v>
      </c>
      <c r="B64" s="55" t="s">
        <v>98</v>
      </c>
      <c r="C64" s="53" t="s">
        <v>99</v>
      </c>
      <c r="D64" s="22" t="s">
        <v>39</v>
      </c>
      <c r="E64" s="16" t="s">
        <v>100</v>
      </c>
      <c r="F64" s="23" t="s">
        <v>45</v>
      </c>
      <c r="G64" s="23" t="s">
        <v>44</v>
      </c>
      <c r="H64" s="19">
        <v>46141</v>
      </c>
      <c r="I64" s="14">
        <f t="shared" si="4"/>
        <v>4</v>
      </c>
      <c r="J64" s="41" t="s">
        <v>35</v>
      </c>
      <c r="K64" s="56"/>
      <c r="L64" s="14"/>
      <c r="M64" s="14"/>
      <c r="N64" s="14" t="s">
        <v>31</v>
      </c>
      <c r="O64" s="14"/>
      <c r="P64" s="14"/>
      <c r="Q64" s="14"/>
    </row>
    <row r="65" spans="1:17" s="8" customFormat="1" ht="13.8" x14ac:dyDescent="0.3">
      <c r="A65" s="14">
        <v>9</v>
      </c>
      <c r="B65" s="55" t="s">
        <v>175</v>
      </c>
      <c r="C65" s="53" t="s">
        <v>101</v>
      </c>
      <c r="D65" s="22" t="s">
        <v>39</v>
      </c>
      <c r="E65" s="16" t="s">
        <v>100</v>
      </c>
      <c r="F65" s="23" t="s">
        <v>59</v>
      </c>
      <c r="G65" s="23" t="s">
        <v>44</v>
      </c>
      <c r="H65" s="19">
        <v>46140</v>
      </c>
      <c r="I65" s="14">
        <f t="shared" si="4"/>
        <v>5</v>
      </c>
      <c r="J65" s="41" t="s">
        <v>35</v>
      </c>
      <c r="K65" s="56"/>
      <c r="L65" s="14" t="s">
        <v>36</v>
      </c>
      <c r="M65" s="14" t="s">
        <v>37</v>
      </c>
      <c r="N65" s="14" t="s">
        <v>31</v>
      </c>
      <c r="O65" s="14"/>
      <c r="P65" s="14"/>
      <c r="Q65" s="14"/>
    </row>
    <row r="66" spans="1:17" s="8" customFormat="1" ht="13.8" x14ac:dyDescent="0.3">
      <c r="A66" s="14">
        <v>10</v>
      </c>
      <c r="B66" s="55" t="s">
        <v>102</v>
      </c>
      <c r="C66" s="53" t="s">
        <v>103</v>
      </c>
      <c r="D66" s="22" t="s">
        <v>39</v>
      </c>
      <c r="E66" s="16" t="s">
        <v>104</v>
      </c>
      <c r="F66" s="23" t="s">
        <v>45</v>
      </c>
      <c r="G66" s="23" t="s">
        <v>44</v>
      </c>
      <c r="H66" s="19">
        <v>46138</v>
      </c>
      <c r="I66" s="14">
        <f t="shared" si="4"/>
        <v>7</v>
      </c>
      <c r="J66" s="41" t="s">
        <v>35</v>
      </c>
      <c r="K66" s="56"/>
      <c r="L66" s="14"/>
      <c r="M66" s="14"/>
      <c r="N66" s="14" t="s">
        <v>31</v>
      </c>
      <c r="O66" s="14"/>
      <c r="P66" s="14"/>
      <c r="Q66" s="14"/>
    </row>
    <row r="67" spans="1:17" s="8" customFormat="1" ht="15.75" customHeight="1" x14ac:dyDescent="0.3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</row>
    <row r="68" spans="1:17" s="8" customFormat="1" ht="13.8" x14ac:dyDescent="0.3">
      <c r="A68" s="13"/>
      <c r="B68" s="13" t="s">
        <v>109</v>
      </c>
      <c r="C68" s="13"/>
      <c r="D68" s="13"/>
      <c r="E68" s="13" t="s">
        <v>51</v>
      </c>
      <c r="F68" s="25" t="s">
        <v>49</v>
      </c>
      <c r="G68" s="25"/>
      <c r="H68" s="38">
        <f>COUNT(#REF!)</f>
        <v>0</v>
      </c>
      <c r="I68" s="13"/>
      <c r="J68" s="27"/>
      <c r="K68" s="27"/>
      <c r="L68" s="13">
        <f>COUNTA(#REF!)</f>
        <v>1</v>
      </c>
      <c r="M68" s="13">
        <f>COUNTA(#REF!)</f>
        <v>1</v>
      </c>
      <c r="N68" s="13">
        <f>COUNTA(#REF!)</f>
        <v>1</v>
      </c>
      <c r="O68" s="13">
        <f>COUNTA(O69:O69)</f>
        <v>0</v>
      </c>
      <c r="P68" s="13">
        <f>COUNTA(P69:P69)</f>
        <v>0</v>
      </c>
      <c r="Q68" s="13"/>
    </row>
    <row r="69" spans="1:17" s="8" customFormat="1" ht="13.8" x14ac:dyDescent="0.3">
      <c r="A69" s="138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40"/>
    </row>
    <row r="70" spans="1:17" s="8" customFormat="1" ht="13.8" x14ac:dyDescent="0.3">
      <c r="A70" s="13"/>
      <c r="B70" s="13" t="s">
        <v>110</v>
      </c>
      <c r="C70" s="13"/>
      <c r="D70" s="13"/>
      <c r="E70" s="13" t="s">
        <v>51</v>
      </c>
      <c r="F70" s="25" t="s">
        <v>49</v>
      </c>
      <c r="G70" s="25"/>
      <c r="H70" s="38">
        <f>COUNT(#REF!)</f>
        <v>0</v>
      </c>
      <c r="I70" s="13"/>
      <c r="J70" s="13"/>
      <c r="K70" s="27"/>
      <c r="L70" s="13">
        <f>COUNTA(#REF!)</f>
        <v>1</v>
      </c>
      <c r="M70" s="13">
        <f>COUNTA(#REF!)</f>
        <v>1</v>
      </c>
      <c r="N70" s="13">
        <f>COUNTA(#REF!)</f>
        <v>1</v>
      </c>
      <c r="O70" s="13"/>
      <c r="P70" s="13"/>
      <c r="Q70" s="13"/>
    </row>
    <row r="71" spans="1:17" s="20" customFormat="1" ht="13.8" x14ac:dyDescent="0.3">
      <c r="A71" s="138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40"/>
    </row>
    <row r="72" spans="1:17" s="8" customFormat="1" ht="13.8" x14ac:dyDescent="0.3">
      <c r="A72" s="13"/>
      <c r="B72" s="13" t="s">
        <v>111</v>
      </c>
      <c r="C72" s="13"/>
      <c r="D72" s="13"/>
      <c r="E72" s="13" t="s">
        <v>51</v>
      </c>
      <c r="F72" s="25" t="s">
        <v>49</v>
      </c>
      <c r="G72" s="25"/>
      <c r="H72" s="38">
        <f>COUNT(A73:A76)</f>
        <v>4</v>
      </c>
      <c r="I72" s="13"/>
      <c r="J72" s="13"/>
      <c r="K72" s="27"/>
      <c r="L72" s="13">
        <f>COUNTA(L74:L76)</f>
        <v>3</v>
      </c>
      <c r="M72" s="13">
        <f>COUNTA(M74:M76)</f>
        <v>3</v>
      </c>
      <c r="N72" s="13">
        <f>COUNTA(N74:N76)</f>
        <v>3</v>
      </c>
      <c r="O72" s="13">
        <v>0</v>
      </c>
      <c r="P72" s="13">
        <v>0</v>
      </c>
      <c r="Q72" s="13"/>
    </row>
    <row r="73" spans="1:17" s="8" customFormat="1" ht="13.8" x14ac:dyDescent="0.3">
      <c r="A73" s="14">
        <v>1</v>
      </c>
      <c r="B73" s="28" t="s">
        <v>112</v>
      </c>
      <c r="C73" s="14" t="s">
        <v>113</v>
      </c>
      <c r="D73" s="57" t="s">
        <v>31</v>
      </c>
      <c r="E73" s="14" t="s">
        <v>114</v>
      </c>
      <c r="F73" s="23" t="s">
        <v>45</v>
      </c>
      <c r="G73" s="23" t="s">
        <v>44</v>
      </c>
      <c r="H73" s="89">
        <v>46140</v>
      </c>
      <c r="I73" s="14">
        <f t="shared" ref="I73:I76" si="5">IF(H73="",0,$K$4-H73+1)</f>
        <v>5</v>
      </c>
      <c r="J73" s="41" t="s">
        <v>35</v>
      </c>
      <c r="K73" s="54"/>
      <c r="L73" s="14" t="s">
        <v>36</v>
      </c>
      <c r="M73" s="14" t="s">
        <v>37</v>
      </c>
      <c r="N73" s="14"/>
      <c r="O73" s="14"/>
      <c r="P73" s="14"/>
      <c r="Q73" s="29"/>
    </row>
    <row r="74" spans="1:17" s="20" customFormat="1" ht="13.8" x14ac:dyDescent="0.3">
      <c r="A74" s="14">
        <v>2</v>
      </c>
      <c r="B74" s="28" t="s">
        <v>115</v>
      </c>
      <c r="C74" s="14" t="s">
        <v>116</v>
      </c>
      <c r="D74" s="57" t="s">
        <v>31</v>
      </c>
      <c r="E74" s="14" t="s">
        <v>114</v>
      </c>
      <c r="F74" s="58" t="s">
        <v>59</v>
      </c>
      <c r="G74" s="23" t="s">
        <v>44</v>
      </c>
      <c r="H74" s="19">
        <v>46128</v>
      </c>
      <c r="I74" s="14">
        <f t="shared" si="5"/>
        <v>17</v>
      </c>
      <c r="J74" s="41" t="s">
        <v>35</v>
      </c>
      <c r="K74" s="54"/>
      <c r="L74" s="14" t="s">
        <v>36</v>
      </c>
      <c r="M74" s="14" t="s">
        <v>37</v>
      </c>
      <c r="N74" s="14" t="s">
        <v>31</v>
      </c>
      <c r="O74" s="14"/>
      <c r="P74" s="14"/>
      <c r="Q74" s="29"/>
    </row>
    <row r="75" spans="1:17" s="20" customFormat="1" ht="13.8" x14ac:dyDescent="0.3">
      <c r="A75" s="14">
        <v>3</v>
      </c>
      <c r="B75" s="28" t="s">
        <v>176</v>
      </c>
      <c r="C75" s="14" t="s">
        <v>118</v>
      </c>
      <c r="D75" s="57" t="s">
        <v>31</v>
      </c>
      <c r="E75" s="14" t="s">
        <v>114</v>
      </c>
      <c r="F75" s="58" t="s">
        <v>59</v>
      </c>
      <c r="G75" s="23" t="s">
        <v>44</v>
      </c>
      <c r="H75" s="19">
        <v>46137</v>
      </c>
      <c r="I75" s="14">
        <f t="shared" si="5"/>
        <v>8</v>
      </c>
      <c r="J75" s="41" t="s">
        <v>35</v>
      </c>
      <c r="K75" s="54"/>
      <c r="L75" s="14" t="s">
        <v>36</v>
      </c>
      <c r="M75" s="14" t="s">
        <v>37</v>
      </c>
      <c r="N75" s="14" t="s">
        <v>31</v>
      </c>
      <c r="O75" s="14"/>
      <c r="P75" s="14"/>
      <c r="Q75" s="29"/>
    </row>
    <row r="76" spans="1:17" s="20" customFormat="1" ht="13.8" x14ac:dyDescent="0.3">
      <c r="A76" s="14">
        <v>4</v>
      </c>
      <c r="B76" s="28" t="s">
        <v>117</v>
      </c>
      <c r="C76" s="14" t="s">
        <v>118</v>
      </c>
      <c r="D76" s="22" t="s">
        <v>39</v>
      </c>
      <c r="E76" s="14" t="s">
        <v>114</v>
      </c>
      <c r="F76" s="58" t="s">
        <v>59</v>
      </c>
      <c r="G76" s="23" t="s">
        <v>44</v>
      </c>
      <c r="H76" s="19">
        <v>46137</v>
      </c>
      <c r="I76" s="14">
        <f t="shared" si="5"/>
        <v>8</v>
      </c>
      <c r="J76" s="41" t="s">
        <v>35</v>
      </c>
      <c r="K76" s="54"/>
      <c r="L76" s="14" t="s">
        <v>36</v>
      </c>
      <c r="M76" s="14" t="s">
        <v>37</v>
      </c>
      <c r="N76" s="14" t="s">
        <v>31</v>
      </c>
      <c r="O76" s="14"/>
      <c r="P76" s="14"/>
      <c r="Q76" s="29"/>
    </row>
    <row r="77" spans="1:17" s="59" customFormat="1" ht="13.8" x14ac:dyDescent="0.3">
      <c r="A77" s="141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3"/>
    </row>
    <row r="78" spans="1:17" s="8" customFormat="1" ht="13.8" x14ac:dyDescent="0.3">
      <c r="A78" s="13"/>
      <c r="B78" s="13" t="s">
        <v>119</v>
      </c>
      <c r="C78" s="13"/>
      <c r="D78" s="13"/>
      <c r="E78" s="13" t="s">
        <v>120</v>
      </c>
      <c r="F78" s="25"/>
      <c r="G78" s="25"/>
      <c r="H78" s="38">
        <f>COUNT(#REF!)</f>
        <v>0</v>
      </c>
      <c r="I78" s="60"/>
      <c r="J78" s="60"/>
      <c r="K78" s="61"/>
      <c r="L78" s="13">
        <f>COUNTA(#REF!)</f>
        <v>1</v>
      </c>
      <c r="M78" s="13">
        <f>COUNTA(#REF!)</f>
        <v>1</v>
      </c>
      <c r="N78" s="13">
        <f>COUNTA(#REF!)</f>
        <v>1</v>
      </c>
      <c r="O78" s="13"/>
      <c r="P78" s="13"/>
      <c r="Q78" s="13"/>
    </row>
    <row r="79" spans="1:17" s="8" customFormat="1" ht="13.8" x14ac:dyDescent="0.3">
      <c r="A79" s="14">
        <v>1</v>
      </c>
      <c r="B79" s="14" t="s">
        <v>215</v>
      </c>
      <c r="C79" s="53" t="s">
        <v>99</v>
      </c>
      <c r="D79" s="40" t="s">
        <v>54</v>
      </c>
      <c r="E79" s="14" t="s">
        <v>100</v>
      </c>
      <c r="F79" s="23" t="s">
        <v>45</v>
      </c>
      <c r="G79" s="23" t="s">
        <v>44</v>
      </c>
      <c r="H79" s="89">
        <v>46144</v>
      </c>
      <c r="I79" s="14">
        <f t="shared" ref="I79:I82" si="6">IF(H79="",0,$K$4-H79+1)</f>
        <v>1</v>
      </c>
      <c r="J79" s="41" t="s">
        <v>35</v>
      </c>
      <c r="K79" s="54"/>
      <c r="L79" s="14" t="s">
        <v>36</v>
      </c>
      <c r="M79" s="14" t="s">
        <v>37</v>
      </c>
      <c r="N79" s="14" t="s">
        <v>31</v>
      </c>
      <c r="O79" s="14"/>
      <c r="P79" s="14"/>
      <c r="Q79" s="14"/>
    </row>
    <row r="80" spans="1:17" s="8" customFormat="1" ht="13.8" x14ac:dyDescent="0.3">
      <c r="A80" s="14">
        <v>2</v>
      </c>
      <c r="B80" s="14" t="s">
        <v>216</v>
      </c>
      <c r="C80" s="53" t="s">
        <v>101</v>
      </c>
      <c r="D80" s="40" t="s">
        <v>54</v>
      </c>
      <c r="E80" s="14" t="s">
        <v>100</v>
      </c>
      <c r="F80" s="23" t="s">
        <v>45</v>
      </c>
      <c r="G80" s="23" t="s">
        <v>44</v>
      </c>
      <c r="H80" s="89">
        <v>46144</v>
      </c>
      <c r="I80" s="14">
        <f t="shared" si="6"/>
        <v>1</v>
      </c>
      <c r="J80" s="41" t="s">
        <v>35</v>
      </c>
      <c r="K80" s="54"/>
      <c r="L80" s="14" t="s">
        <v>36</v>
      </c>
      <c r="M80" s="14" t="s">
        <v>37</v>
      </c>
      <c r="N80" s="14" t="s">
        <v>31</v>
      </c>
      <c r="O80" s="14"/>
      <c r="P80" s="14"/>
      <c r="Q80" s="14"/>
    </row>
    <row r="81" spans="1:17" s="8" customFormat="1" ht="13.8" x14ac:dyDescent="0.3">
      <c r="A81" s="14">
        <v>3</v>
      </c>
      <c r="B81" s="14" t="s">
        <v>205</v>
      </c>
      <c r="C81" s="53" t="s">
        <v>99</v>
      </c>
      <c r="D81" s="40" t="s">
        <v>54</v>
      </c>
      <c r="E81" s="14" t="s">
        <v>100</v>
      </c>
      <c r="F81" s="23" t="s">
        <v>45</v>
      </c>
      <c r="G81" s="23" t="s">
        <v>44</v>
      </c>
      <c r="H81" s="89">
        <v>46144</v>
      </c>
      <c r="I81" s="14">
        <f t="shared" si="6"/>
        <v>1</v>
      </c>
      <c r="J81" s="41" t="s">
        <v>35</v>
      </c>
      <c r="K81" s="54"/>
      <c r="L81" s="14"/>
      <c r="M81" s="14" t="s">
        <v>37</v>
      </c>
      <c r="N81" s="14"/>
      <c r="O81" s="14"/>
      <c r="P81" s="14"/>
      <c r="Q81" s="14"/>
    </row>
    <row r="82" spans="1:17" s="8" customFormat="1" ht="13.8" x14ac:dyDescent="0.3">
      <c r="A82" s="14">
        <v>4</v>
      </c>
      <c r="B82" s="14" t="s">
        <v>183</v>
      </c>
      <c r="C82" s="53" t="s">
        <v>101</v>
      </c>
      <c r="D82" s="40" t="s">
        <v>54</v>
      </c>
      <c r="E82" s="14" t="s">
        <v>100</v>
      </c>
      <c r="F82" s="23" t="s">
        <v>45</v>
      </c>
      <c r="G82" s="23" t="s">
        <v>44</v>
      </c>
      <c r="H82" s="89">
        <v>46144</v>
      </c>
      <c r="I82" s="14">
        <f t="shared" si="6"/>
        <v>1</v>
      </c>
      <c r="J82" s="41" t="s">
        <v>35</v>
      </c>
      <c r="K82" s="54"/>
      <c r="L82" s="14"/>
      <c r="M82" s="14" t="s">
        <v>37</v>
      </c>
      <c r="N82" s="14"/>
      <c r="O82" s="14"/>
      <c r="P82" s="14"/>
      <c r="Q82" s="14"/>
    </row>
    <row r="83" spans="1:17" s="8" customFormat="1" ht="13.8" x14ac:dyDescent="0.3">
      <c r="A83" s="138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40"/>
    </row>
    <row r="84" spans="1:17" s="8" customFormat="1" ht="13.8" x14ac:dyDescent="0.3">
      <c r="A84" s="30"/>
      <c r="B84" s="30" t="s">
        <v>121</v>
      </c>
      <c r="C84" s="30"/>
      <c r="D84" s="13"/>
      <c r="E84" s="30" t="s">
        <v>120</v>
      </c>
      <c r="F84" s="32"/>
      <c r="G84" s="32"/>
      <c r="H84" s="38">
        <f>COUNT(#REF!)</f>
        <v>0</v>
      </c>
      <c r="I84" s="62"/>
      <c r="J84" s="62"/>
      <c r="K84" s="63"/>
      <c r="L84" s="13">
        <f>COUNTA(#REF!)</f>
        <v>1</v>
      </c>
      <c r="M84" s="13">
        <f>COUNTA(#REF!)</f>
        <v>1</v>
      </c>
      <c r="N84" s="13">
        <f>COUNTA(#REF!)</f>
        <v>1</v>
      </c>
      <c r="O84" s="30">
        <f>COUNTA(O107:O107)</f>
        <v>0</v>
      </c>
      <c r="P84" s="30">
        <f>COUNTA(P107:P107)</f>
        <v>0</v>
      </c>
      <c r="Q84" s="30"/>
    </row>
    <row r="85" spans="1:17" s="8" customFormat="1" ht="13.8" x14ac:dyDescent="0.3">
      <c r="A85" s="14">
        <v>1</v>
      </c>
      <c r="B85" s="14" t="s">
        <v>183</v>
      </c>
      <c r="C85" s="14" t="s">
        <v>184</v>
      </c>
      <c r="D85" s="40" t="s">
        <v>54</v>
      </c>
      <c r="E85" s="14" t="s">
        <v>100</v>
      </c>
      <c r="F85" s="23" t="s">
        <v>45</v>
      </c>
      <c r="G85" s="23" t="s">
        <v>44</v>
      </c>
      <c r="H85" s="89">
        <v>46144</v>
      </c>
      <c r="I85" s="14">
        <f t="shared" ref="I85:I106" si="7">IF(H85="",0,$K$4-H85+1)</f>
        <v>1</v>
      </c>
      <c r="J85" s="41" t="s">
        <v>35</v>
      </c>
      <c r="K85" s="90"/>
      <c r="L85" s="14"/>
      <c r="M85" s="14"/>
      <c r="N85" s="14"/>
      <c r="O85" s="14"/>
      <c r="P85" s="44"/>
      <c r="Q85" s="14" t="s">
        <v>185</v>
      </c>
    </row>
    <row r="86" spans="1:17" s="8" customFormat="1" ht="13.8" x14ac:dyDescent="0.3">
      <c r="A86" s="14">
        <v>2</v>
      </c>
      <c r="B86" s="14" t="s">
        <v>186</v>
      </c>
      <c r="C86" s="14" t="s">
        <v>187</v>
      </c>
      <c r="D86" s="40" t="s">
        <v>54</v>
      </c>
      <c r="E86" s="14" t="s">
        <v>100</v>
      </c>
      <c r="F86" s="23" t="s">
        <v>45</v>
      </c>
      <c r="G86" s="23" t="s">
        <v>44</v>
      </c>
      <c r="H86" s="89">
        <v>46144</v>
      </c>
      <c r="I86" s="14">
        <f t="shared" si="7"/>
        <v>1</v>
      </c>
      <c r="J86" s="41" t="s">
        <v>35</v>
      </c>
      <c r="K86" s="90"/>
      <c r="L86" s="14"/>
      <c r="M86" s="14"/>
      <c r="N86" s="14"/>
      <c r="O86" s="14"/>
      <c r="P86" s="44"/>
      <c r="Q86" s="14"/>
    </row>
    <row r="87" spans="1:17" s="8" customFormat="1" ht="13.8" x14ac:dyDescent="0.3">
      <c r="A87" s="14">
        <v>3</v>
      </c>
      <c r="B87" s="14" t="s">
        <v>188</v>
      </c>
      <c r="C87" s="14" t="s">
        <v>184</v>
      </c>
      <c r="D87" s="40" t="s">
        <v>54</v>
      </c>
      <c r="E87" s="14" t="s">
        <v>100</v>
      </c>
      <c r="F87" s="23" t="s">
        <v>45</v>
      </c>
      <c r="G87" s="23" t="s">
        <v>44</v>
      </c>
      <c r="H87" s="89">
        <v>46144</v>
      </c>
      <c r="I87" s="14">
        <f t="shared" si="7"/>
        <v>1</v>
      </c>
      <c r="J87" s="41" t="s">
        <v>35</v>
      </c>
      <c r="K87" s="90"/>
      <c r="L87" s="14"/>
      <c r="M87" s="14"/>
      <c r="N87" s="14"/>
      <c r="O87" s="14"/>
      <c r="P87" s="44"/>
      <c r="Q87" s="14" t="s">
        <v>189</v>
      </c>
    </row>
    <row r="88" spans="1:17" s="8" customFormat="1" ht="13.8" x14ac:dyDescent="0.3">
      <c r="A88" s="14">
        <v>4</v>
      </c>
      <c r="B88" s="14" t="s">
        <v>190</v>
      </c>
      <c r="C88" s="14" t="s">
        <v>187</v>
      </c>
      <c r="D88" s="40" t="s">
        <v>54</v>
      </c>
      <c r="E88" s="14" t="s">
        <v>100</v>
      </c>
      <c r="F88" s="23" t="s">
        <v>45</v>
      </c>
      <c r="G88" s="23" t="s">
        <v>44</v>
      </c>
      <c r="H88" s="89">
        <v>46144</v>
      </c>
      <c r="I88" s="14">
        <f t="shared" si="7"/>
        <v>1</v>
      </c>
      <c r="J88" s="41" t="s">
        <v>35</v>
      </c>
      <c r="K88" s="90"/>
      <c r="L88" s="14"/>
      <c r="M88" s="14"/>
      <c r="N88" s="14"/>
      <c r="O88" s="14"/>
      <c r="P88" s="44"/>
      <c r="Q88" s="14"/>
    </row>
    <row r="89" spans="1:17" s="8" customFormat="1" ht="13.8" x14ac:dyDescent="0.3">
      <c r="A89" s="14">
        <v>5</v>
      </c>
      <c r="B89" s="14" t="s">
        <v>191</v>
      </c>
      <c r="C89" s="14" t="s">
        <v>184</v>
      </c>
      <c r="D89" s="40" t="s">
        <v>54</v>
      </c>
      <c r="E89" s="14" t="s">
        <v>100</v>
      </c>
      <c r="F89" s="23" t="s">
        <v>45</v>
      </c>
      <c r="G89" s="23" t="s">
        <v>44</v>
      </c>
      <c r="H89" s="89">
        <v>46144</v>
      </c>
      <c r="I89" s="14">
        <f t="shared" si="7"/>
        <v>1</v>
      </c>
      <c r="J89" s="41" t="s">
        <v>35</v>
      </c>
      <c r="K89" s="90"/>
      <c r="L89" s="14"/>
      <c r="M89" s="14"/>
      <c r="N89" s="14"/>
      <c r="O89" s="14"/>
      <c r="P89" s="44"/>
      <c r="Q89" s="14" t="s">
        <v>192</v>
      </c>
    </row>
    <row r="90" spans="1:17" s="8" customFormat="1" ht="13.8" x14ac:dyDescent="0.3">
      <c r="A90" s="14">
        <v>6</v>
      </c>
      <c r="B90" s="14" t="s">
        <v>193</v>
      </c>
      <c r="C90" s="14" t="s">
        <v>187</v>
      </c>
      <c r="D90" s="40" t="s">
        <v>54</v>
      </c>
      <c r="E90" s="14" t="s">
        <v>100</v>
      </c>
      <c r="F90" s="23" t="s">
        <v>45</v>
      </c>
      <c r="G90" s="23" t="s">
        <v>44</v>
      </c>
      <c r="H90" s="89">
        <v>46144</v>
      </c>
      <c r="I90" s="14">
        <f t="shared" si="7"/>
        <v>1</v>
      </c>
      <c r="J90" s="41" t="s">
        <v>35</v>
      </c>
      <c r="K90" s="90"/>
      <c r="L90" s="14"/>
      <c r="M90" s="14"/>
      <c r="N90" s="14"/>
      <c r="O90" s="14"/>
      <c r="P90" s="44"/>
      <c r="Q90" s="14"/>
    </row>
    <row r="91" spans="1:17" s="8" customFormat="1" ht="13.8" x14ac:dyDescent="0.3">
      <c r="A91" s="14">
        <v>7</v>
      </c>
      <c r="B91" s="14" t="s">
        <v>194</v>
      </c>
      <c r="C91" s="14" t="s">
        <v>184</v>
      </c>
      <c r="D91" s="40" t="s">
        <v>54</v>
      </c>
      <c r="E91" s="14" t="s">
        <v>100</v>
      </c>
      <c r="F91" s="23" t="s">
        <v>45</v>
      </c>
      <c r="G91" s="23" t="s">
        <v>44</v>
      </c>
      <c r="H91" s="89">
        <v>46144</v>
      </c>
      <c r="I91" s="14">
        <f t="shared" si="7"/>
        <v>1</v>
      </c>
      <c r="J91" s="41" t="s">
        <v>35</v>
      </c>
      <c r="K91" s="90"/>
      <c r="L91" s="14"/>
      <c r="M91" s="14"/>
      <c r="N91" s="14"/>
      <c r="O91" s="14"/>
      <c r="P91" s="44"/>
      <c r="Q91" s="14" t="s">
        <v>195</v>
      </c>
    </row>
    <row r="92" spans="1:17" s="8" customFormat="1" ht="13.8" x14ac:dyDescent="0.3">
      <c r="A92" s="14">
        <v>8</v>
      </c>
      <c r="B92" s="14" t="s">
        <v>196</v>
      </c>
      <c r="C92" s="14" t="s">
        <v>187</v>
      </c>
      <c r="D92" s="40" t="s">
        <v>54</v>
      </c>
      <c r="E92" s="14" t="s">
        <v>100</v>
      </c>
      <c r="F92" s="23" t="s">
        <v>45</v>
      </c>
      <c r="G92" s="23" t="s">
        <v>44</v>
      </c>
      <c r="H92" s="89">
        <v>46144</v>
      </c>
      <c r="I92" s="14">
        <f t="shared" si="7"/>
        <v>1</v>
      </c>
      <c r="J92" s="41" t="s">
        <v>35</v>
      </c>
      <c r="K92" s="90"/>
      <c r="L92" s="14"/>
      <c r="M92" s="14"/>
      <c r="N92" s="14"/>
      <c r="O92" s="14"/>
      <c r="P92" s="44"/>
      <c r="Q92" s="14"/>
    </row>
    <row r="93" spans="1:17" s="8" customFormat="1" ht="13.8" x14ac:dyDescent="0.3">
      <c r="A93" s="14">
        <v>9</v>
      </c>
      <c r="B93" s="14" t="s">
        <v>112</v>
      </c>
      <c r="C93" s="14" t="s">
        <v>184</v>
      </c>
      <c r="D93" s="40" t="s">
        <v>54</v>
      </c>
      <c r="E93" s="16" t="s">
        <v>197</v>
      </c>
      <c r="F93" s="23" t="s">
        <v>45</v>
      </c>
      <c r="G93" s="23" t="s">
        <v>44</v>
      </c>
      <c r="H93" s="89">
        <v>46144</v>
      </c>
      <c r="I93" s="14">
        <f t="shared" si="7"/>
        <v>1</v>
      </c>
      <c r="J93" s="41" t="s">
        <v>35</v>
      </c>
      <c r="K93" s="90"/>
      <c r="L93" s="14"/>
      <c r="M93" s="14"/>
      <c r="N93" s="14"/>
      <c r="O93" s="14"/>
      <c r="P93" s="44"/>
      <c r="Q93" s="14" t="s">
        <v>198</v>
      </c>
    </row>
    <row r="94" spans="1:17" s="8" customFormat="1" ht="13.8" x14ac:dyDescent="0.3">
      <c r="A94" s="14">
        <v>10</v>
      </c>
      <c r="B94" s="14" t="s">
        <v>199</v>
      </c>
      <c r="C94" s="14" t="s">
        <v>187</v>
      </c>
      <c r="D94" s="40" t="s">
        <v>54</v>
      </c>
      <c r="E94" s="16" t="s">
        <v>197</v>
      </c>
      <c r="F94" s="23" t="s">
        <v>45</v>
      </c>
      <c r="G94" s="23" t="s">
        <v>44</v>
      </c>
      <c r="H94" s="89">
        <v>46144</v>
      </c>
      <c r="I94" s="14">
        <f t="shared" si="7"/>
        <v>1</v>
      </c>
      <c r="J94" s="41" t="s">
        <v>35</v>
      </c>
      <c r="K94" s="90"/>
      <c r="L94" s="14"/>
      <c r="M94" s="14"/>
      <c r="N94" s="14"/>
      <c r="O94" s="14"/>
      <c r="P94" s="44"/>
      <c r="Q94" s="14"/>
    </row>
    <row r="95" spans="1:17" s="8" customFormat="1" ht="13.8" x14ac:dyDescent="0.3">
      <c r="A95" s="14">
        <v>11</v>
      </c>
      <c r="B95" s="14" t="s">
        <v>200</v>
      </c>
      <c r="C95" s="14" t="s">
        <v>184</v>
      </c>
      <c r="D95" s="40" t="s">
        <v>54</v>
      </c>
      <c r="E95" s="16" t="s">
        <v>197</v>
      </c>
      <c r="F95" s="23" t="s">
        <v>45</v>
      </c>
      <c r="G95" s="23" t="s">
        <v>44</v>
      </c>
      <c r="H95" s="89">
        <v>46144</v>
      </c>
      <c r="I95" s="14">
        <f t="shared" si="7"/>
        <v>1</v>
      </c>
      <c r="J95" s="41" t="s">
        <v>35</v>
      </c>
      <c r="K95" s="90"/>
      <c r="L95" s="14"/>
      <c r="M95" s="14"/>
      <c r="N95" s="14"/>
      <c r="O95" s="14"/>
      <c r="P95" s="44"/>
      <c r="Q95" s="14" t="s">
        <v>201</v>
      </c>
    </row>
    <row r="96" spans="1:17" s="8" customFormat="1" ht="13.8" x14ac:dyDescent="0.3">
      <c r="A96" s="14">
        <v>12</v>
      </c>
      <c r="B96" s="14" t="s">
        <v>202</v>
      </c>
      <c r="C96" s="14" t="s">
        <v>187</v>
      </c>
      <c r="D96" s="40" t="s">
        <v>54</v>
      </c>
      <c r="E96" s="16" t="s">
        <v>197</v>
      </c>
      <c r="F96" s="23" t="s">
        <v>45</v>
      </c>
      <c r="G96" s="23" t="s">
        <v>44</v>
      </c>
      <c r="H96" s="89">
        <v>46144</v>
      </c>
      <c r="I96" s="14">
        <f t="shared" si="7"/>
        <v>1</v>
      </c>
      <c r="J96" s="41" t="s">
        <v>35</v>
      </c>
      <c r="K96" s="90"/>
      <c r="L96" s="14"/>
      <c r="M96" s="14"/>
      <c r="N96" s="14"/>
      <c r="O96" s="14"/>
      <c r="P96" s="44"/>
      <c r="Q96" s="14"/>
    </row>
    <row r="97" spans="1:17" s="8" customFormat="1" ht="13.8" x14ac:dyDescent="0.3">
      <c r="A97" s="14">
        <v>13</v>
      </c>
      <c r="B97" s="14" t="s">
        <v>203</v>
      </c>
      <c r="C97" s="14" t="s">
        <v>184</v>
      </c>
      <c r="D97" s="40" t="s">
        <v>54</v>
      </c>
      <c r="E97" s="16" t="s">
        <v>197</v>
      </c>
      <c r="F97" s="23" t="s">
        <v>45</v>
      </c>
      <c r="G97" s="23" t="s">
        <v>44</v>
      </c>
      <c r="H97" s="89">
        <v>46144</v>
      </c>
      <c r="I97" s="14">
        <f t="shared" si="7"/>
        <v>1</v>
      </c>
      <c r="J97" s="41" t="s">
        <v>35</v>
      </c>
      <c r="K97" s="90"/>
      <c r="L97" s="14"/>
      <c r="M97" s="14"/>
      <c r="N97" s="14"/>
      <c r="O97" s="14"/>
      <c r="P97" s="44"/>
      <c r="Q97" s="14" t="s">
        <v>204</v>
      </c>
    </row>
    <row r="98" spans="1:17" s="8" customFormat="1" ht="13.8" x14ac:dyDescent="0.3">
      <c r="A98" s="14">
        <v>14</v>
      </c>
      <c r="B98" s="14" t="s">
        <v>205</v>
      </c>
      <c r="C98" s="14" t="s">
        <v>187</v>
      </c>
      <c r="D98" s="40" t="s">
        <v>54</v>
      </c>
      <c r="E98" s="16" t="s">
        <v>197</v>
      </c>
      <c r="F98" s="23" t="s">
        <v>45</v>
      </c>
      <c r="G98" s="23" t="s">
        <v>44</v>
      </c>
      <c r="H98" s="89">
        <v>46144</v>
      </c>
      <c r="I98" s="14">
        <f t="shared" si="7"/>
        <v>1</v>
      </c>
      <c r="J98" s="41" t="s">
        <v>35</v>
      </c>
      <c r="K98" s="90"/>
      <c r="L98" s="14"/>
      <c r="M98" s="14"/>
      <c r="N98" s="14"/>
      <c r="O98" s="14"/>
      <c r="P98" s="44"/>
      <c r="Q98" s="14"/>
    </row>
    <row r="99" spans="1:17" s="8" customFormat="1" ht="13.8" x14ac:dyDescent="0.3">
      <c r="A99" s="14">
        <v>15</v>
      </c>
      <c r="B99" s="14" t="s">
        <v>206</v>
      </c>
      <c r="C99" s="14" t="s">
        <v>184</v>
      </c>
      <c r="D99" s="40" t="s">
        <v>54</v>
      </c>
      <c r="E99" s="16" t="s">
        <v>197</v>
      </c>
      <c r="F99" s="23" t="s">
        <v>45</v>
      </c>
      <c r="G99" s="23" t="s">
        <v>44</v>
      </c>
      <c r="H99" s="89">
        <v>46144</v>
      </c>
      <c r="I99" s="14">
        <f t="shared" si="7"/>
        <v>1</v>
      </c>
      <c r="J99" s="41" t="s">
        <v>35</v>
      </c>
      <c r="K99" s="90"/>
      <c r="L99" s="14"/>
      <c r="M99" s="14"/>
      <c r="N99" s="14"/>
      <c r="O99" s="14"/>
      <c r="P99" s="44"/>
      <c r="Q99" s="14" t="s">
        <v>207</v>
      </c>
    </row>
    <row r="100" spans="1:17" s="8" customFormat="1" ht="13.8" x14ac:dyDescent="0.3">
      <c r="A100" s="14">
        <v>16</v>
      </c>
      <c r="B100" s="14" t="s">
        <v>208</v>
      </c>
      <c r="C100" s="14" t="s">
        <v>187</v>
      </c>
      <c r="D100" s="40" t="s">
        <v>54</v>
      </c>
      <c r="E100" s="16" t="s">
        <v>197</v>
      </c>
      <c r="F100" s="23" t="s">
        <v>45</v>
      </c>
      <c r="G100" s="23" t="s">
        <v>44</v>
      </c>
      <c r="H100" s="89">
        <v>46144</v>
      </c>
      <c r="I100" s="14">
        <f t="shared" si="7"/>
        <v>1</v>
      </c>
      <c r="J100" s="41" t="s">
        <v>35</v>
      </c>
      <c r="K100" s="90"/>
      <c r="L100" s="14"/>
      <c r="M100" s="14"/>
      <c r="N100" s="14"/>
      <c r="O100" s="14"/>
      <c r="P100" s="44"/>
      <c r="Q100" s="14"/>
    </row>
    <row r="101" spans="1:17" s="8" customFormat="1" ht="13.8" x14ac:dyDescent="0.3">
      <c r="A101" s="14">
        <v>17</v>
      </c>
      <c r="B101" s="14" t="s">
        <v>209</v>
      </c>
      <c r="C101" s="14" t="s">
        <v>184</v>
      </c>
      <c r="D101" s="40" t="s">
        <v>54</v>
      </c>
      <c r="E101" s="16" t="s">
        <v>197</v>
      </c>
      <c r="F101" s="23" t="s">
        <v>45</v>
      </c>
      <c r="G101" s="23" t="s">
        <v>44</v>
      </c>
      <c r="H101" s="89">
        <v>46144</v>
      </c>
      <c r="I101" s="14">
        <f t="shared" si="7"/>
        <v>1</v>
      </c>
      <c r="J101" s="41" t="s">
        <v>35</v>
      </c>
      <c r="K101" s="90"/>
      <c r="L101" s="14"/>
      <c r="M101" s="14"/>
      <c r="N101" s="14"/>
      <c r="O101" s="14"/>
      <c r="P101" s="44"/>
      <c r="Q101" s="14" t="s">
        <v>210</v>
      </c>
    </row>
    <row r="102" spans="1:17" s="8" customFormat="1" ht="13.8" x14ac:dyDescent="0.3">
      <c r="A102" s="14">
        <v>18</v>
      </c>
      <c r="B102" s="14" t="s">
        <v>211</v>
      </c>
      <c r="C102" s="14" t="s">
        <v>187</v>
      </c>
      <c r="D102" s="40" t="s">
        <v>54</v>
      </c>
      <c r="E102" s="16" t="s">
        <v>197</v>
      </c>
      <c r="F102" s="23" t="s">
        <v>45</v>
      </c>
      <c r="G102" s="23" t="s">
        <v>44</v>
      </c>
      <c r="H102" s="89">
        <v>46144</v>
      </c>
      <c r="I102" s="14">
        <f t="shared" si="7"/>
        <v>1</v>
      </c>
      <c r="J102" s="41" t="s">
        <v>35</v>
      </c>
      <c r="K102" s="90"/>
      <c r="L102" s="14"/>
      <c r="M102" s="14"/>
      <c r="N102" s="14"/>
      <c r="O102" s="14"/>
      <c r="P102" s="44"/>
      <c r="Q102" s="14"/>
    </row>
    <row r="103" spans="1:17" s="8" customFormat="1" ht="13.8" x14ac:dyDescent="0.3">
      <c r="A103" s="14">
        <v>19</v>
      </c>
      <c r="B103" s="14" t="s">
        <v>212</v>
      </c>
      <c r="C103" s="14" t="s">
        <v>184</v>
      </c>
      <c r="D103" s="40" t="s">
        <v>54</v>
      </c>
      <c r="E103" s="16" t="s">
        <v>197</v>
      </c>
      <c r="F103" s="23" t="s">
        <v>45</v>
      </c>
      <c r="G103" s="23" t="s">
        <v>44</v>
      </c>
      <c r="H103" s="89">
        <v>46144</v>
      </c>
      <c r="I103" s="14">
        <f t="shared" si="7"/>
        <v>1</v>
      </c>
      <c r="J103" s="41" t="s">
        <v>35</v>
      </c>
      <c r="K103" s="90"/>
      <c r="L103" s="14"/>
      <c r="M103" s="14"/>
      <c r="N103" s="14"/>
      <c r="O103" s="14"/>
      <c r="P103" s="44"/>
      <c r="Q103" s="14" t="s">
        <v>213</v>
      </c>
    </row>
    <row r="104" spans="1:17" s="8" customFormat="1" ht="13.8" x14ac:dyDescent="0.3">
      <c r="A104" s="14">
        <v>20</v>
      </c>
      <c r="B104" s="14" t="s">
        <v>202</v>
      </c>
      <c r="C104" s="14" t="s">
        <v>187</v>
      </c>
      <c r="D104" s="40" t="s">
        <v>54</v>
      </c>
      <c r="E104" s="16" t="s">
        <v>197</v>
      </c>
      <c r="F104" s="23" t="s">
        <v>45</v>
      </c>
      <c r="G104" s="23" t="s">
        <v>44</v>
      </c>
      <c r="H104" s="89">
        <v>46144</v>
      </c>
      <c r="I104" s="14">
        <f t="shared" si="7"/>
        <v>1</v>
      </c>
      <c r="J104" s="41" t="s">
        <v>35</v>
      </c>
      <c r="K104" s="90"/>
      <c r="L104" s="14"/>
      <c r="M104" s="14"/>
      <c r="N104" s="14"/>
      <c r="O104" s="14"/>
      <c r="P104" s="44"/>
      <c r="Q104" s="14"/>
    </row>
    <row r="105" spans="1:17" s="8" customFormat="1" ht="13.8" x14ac:dyDescent="0.3">
      <c r="A105" s="14">
        <v>21</v>
      </c>
      <c r="B105" s="14" t="s">
        <v>209</v>
      </c>
      <c r="C105" s="14" t="s">
        <v>184</v>
      </c>
      <c r="D105" s="40" t="s">
        <v>54</v>
      </c>
      <c r="E105" s="16" t="s">
        <v>100</v>
      </c>
      <c r="F105" s="23" t="s">
        <v>45</v>
      </c>
      <c r="G105" s="23" t="s">
        <v>44</v>
      </c>
      <c r="H105" s="89">
        <v>46144</v>
      </c>
      <c r="I105" s="14">
        <f t="shared" si="7"/>
        <v>1</v>
      </c>
      <c r="J105" s="41" t="s">
        <v>35</v>
      </c>
      <c r="K105" s="90"/>
      <c r="L105" s="14"/>
      <c r="M105" s="14"/>
      <c r="N105" s="14"/>
      <c r="O105" s="14"/>
      <c r="P105" s="44"/>
      <c r="Q105" s="14" t="s">
        <v>214</v>
      </c>
    </row>
    <row r="106" spans="1:17" s="8" customFormat="1" ht="13.8" x14ac:dyDescent="0.3">
      <c r="A106" s="14">
        <v>22</v>
      </c>
      <c r="B106" s="14" t="s">
        <v>202</v>
      </c>
      <c r="C106" s="14" t="s">
        <v>187</v>
      </c>
      <c r="D106" s="40" t="s">
        <v>54</v>
      </c>
      <c r="E106" s="16" t="s">
        <v>100</v>
      </c>
      <c r="F106" s="23" t="s">
        <v>45</v>
      </c>
      <c r="G106" s="23" t="s">
        <v>44</v>
      </c>
      <c r="H106" s="89">
        <v>46144</v>
      </c>
      <c r="I106" s="14">
        <f t="shared" si="7"/>
        <v>1</v>
      </c>
      <c r="J106" s="41" t="s">
        <v>35</v>
      </c>
      <c r="K106" s="90"/>
      <c r="L106" s="14"/>
      <c r="M106" s="14"/>
      <c r="N106" s="14"/>
      <c r="O106" s="14"/>
      <c r="P106" s="44"/>
      <c r="Q106" s="14"/>
    </row>
    <row r="107" spans="1:17" s="8" customFormat="1" ht="13.8" x14ac:dyDescent="0.3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</row>
    <row r="108" spans="1:17" s="8" customFormat="1" ht="13.8" x14ac:dyDescent="0.3">
      <c r="A108" s="64"/>
      <c r="B108" s="64" t="s">
        <v>122</v>
      </c>
      <c r="C108" s="64"/>
      <c r="D108" s="64"/>
      <c r="E108" s="64" t="s">
        <v>51</v>
      </c>
      <c r="F108" s="65" t="s">
        <v>49</v>
      </c>
      <c r="G108" s="65"/>
      <c r="H108" s="66">
        <f>COUNT(A108:A112)</f>
        <v>4</v>
      </c>
      <c r="I108" s="64"/>
      <c r="J108" s="67"/>
      <c r="K108" s="68"/>
      <c r="L108" s="64">
        <f>COUNTA(L109:L112)</f>
        <v>0</v>
      </c>
      <c r="M108" s="64">
        <f>COUNTA(M109:M112)</f>
        <v>0</v>
      </c>
      <c r="N108" s="64">
        <f>COUNTA(N109:N112)</f>
        <v>0</v>
      </c>
      <c r="O108" s="13">
        <f>COUNTA(O109:O112)</f>
        <v>0</v>
      </c>
      <c r="P108" s="13">
        <f>COUNTA(P109:P112)</f>
        <v>0</v>
      </c>
      <c r="Q108" s="64"/>
    </row>
    <row r="109" spans="1:17" s="20" customFormat="1" ht="13.8" x14ac:dyDescent="0.3">
      <c r="A109" s="14">
        <v>1</v>
      </c>
      <c r="B109" s="15" t="s">
        <v>123</v>
      </c>
      <c r="C109" s="69" t="s">
        <v>124</v>
      </c>
      <c r="D109" s="22" t="s">
        <v>39</v>
      </c>
      <c r="E109" s="15" t="s">
        <v>125</v>
      </c>
      <c r="F109" s="16" t="s">
        <v>45</v>
      </c>
      <c r="G109" s="23" t="s">
        <v>44</v>
      </c>
      <c r="H109" s="19">
        <v>46105</v>
      </c>
      <c r="I109" s="14">
        <f t="shared" ref="I109:I112" si="8">IF(H109="",0,$K$4-H109+1)</f>
        <v>40</v>
      </c>
      <c r="J109" s="41" t="s">
        <v>35</v>
      </c>
      <c r="K109" s="54"/>
      <c r="L109" s="14"/>
      <c r="M109" s="14"/>
      <c r="N109" s="14"/>
      <c r="O109" s="14"/>
      <c r="P109" s="14"/>
      <c r="Q109" s="14"/>
    </row>
    <row r="110" spans="1:17" s="20" customFormat="1" ht="13.8" x14ac:dyDescent="0.3">
      <c r="A110" s="14">
        <v>2</v>
      </c>
      <c r="B110" s="15" t="s">
        <v>126</v>
      </c>
      <c r="C110" s="69" t="s">
        <v>124</v>
      </c>
      <c r="D110" s="22" t="s">
        <v>39</v>
      </c>
      <c r="E110" s="15" t="s">
        <v>125</v>
      </c>
      <c r="F110" s="16" t="s">
        <v>45</v>
      </c>
      <c r="G110" s="23" t="s">
        <v>44</v>
      </c>
      <c r="H110" s="19">
        <v>46105</v>
      </c>
      <c r="I110" s="14">
        <f t="shared" si="8"/>
        <v>40</v>
      </c>
      <c r="J110" s="41" t="s">
        <v>35</v>
      </c>
      <c r="K110" s="54"/>
      <c r="L110" s="14"/>
      <c r="M110" s="14"/>
      <c r="N110" s="14"/>
      <c r="O110" s="14"/>
      <c r="P110" s="14"/>
      <c r="Q110" s="14"/>
    </row>
    <row r="111" spans="1:17" s="20" customFormat="1" ht="13.8" x14ac:dyDescent="0.3">
      <c r="A111" s="14">
        <v>3</v>
      </c>
      <c r="B111" s="15" t="s">
        <v>127</v>
      </c>
      <c r="C111" s="69" t="s">
        <v>124</v>
      </c>
      <c r="D111" s="57" t="s">
        <v>31</v>
      </c>
      <c r="E111" s="15" t="s">
        <v>125</v>
      </c>
      <c r="F111" s="16" t="s">
        <v>45</v>
      </c>
      <c r="G111" s="23" t="s">
        <v>44</v>
      </c>
      <c r="H111" s="19">
        <v>46105</v>
      </c>
      <c r="I111" s="14">
        <f t="shared" si="8"/>
        <v>40</v>
      </c>
      <c r="J111" s="41" t="s">
        <v>35</v>
      </c>
      <c r="K111" s="54"/>
      <c r="L111" s="14"/>
      <c r="M111" s="14"/>
      <c r="N111" s="14"/>
      <c r="O111" s="14"/>
      <c r="P111" s="14"/>
      <c r="Q111" s="14"/>
    </row>
    <row r="112" spans="1:17" s="20" customFormat="1" ht="13.8" x14ac:dyDescent="0.3">
      <c r="A112" s="14">
        <v>4</v>
      </c>
      <c r="B112" s="15" t="s">
        <v>128</v>
      </c>
      <c r="C112" s="69" t="s">
        <v>124</v>
      </c>
      <c r="D112" s="57" t="s">
        <v>31</v>
      </c>
      <c r="E112" s="15" t="s">
        <v>125</v>
      </c>
      <c r="F112" s="16" t="s">
        <v>45</v>
      </c>
      <c r="G112" s="23" t="s">
        <v>44</v>
      </c>
      <c r="H112" s="19">
        <v>46105</v>
      </c>
      <c r="I112" s="14">
        <f t="shared" si="8"/>
        <v>40</v>
      </c>
      <c r="J112" s="41" t="s">
        <v>35</v>
      </c>
      <c r="K112" s="54"/>
      <c r="L112" s="14"/>
      <c r="M112" s="14"/>
      <c r="N112" s="14"/>
      <c r="O112" s="14"/>
      <c r="P112" s="14"/>
      <c r="Q112" s="14"/>
    </row>
    <row r="113" spans="1:17" s="20" customFormat="1" ht="13.8" x14ac:dyDescent="0.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</row>
    <row r="114" spans="1:17" s="8" customFormat="1" ht="13.8" x14ac:dyDescent="0.3">
      <c r="A114" s="13"/>
      <c r="B114" s="13"/>
      <c r="C114" s="13"/>
      <c r="D114" s="13"/>
      <c r="E114" s="13"/>
      <c r="F114" s="25"/>
      <c r="G114" s="25"/>
      <c r="H114" s="38"/>
      <c r="I114" s="26"/>
      <c r="J114" s="26"/>
      <c r="K114" s="27"/>
      <c r="L114" s="27"/>
      <c r="M114" s="27"/>
      <c r="N114" s="27"/>
      <c r="O114" s="13"/>
      <c r="P114" s="13"/>
      <c r="Q114" s="13"/>
    </row>
    <row r="115" spans="1:17" s="8" customFormat="1" ht="13.8" x14ac:dyDescent="0.3">
      <c r="A115" s="16"/>
      <c r="B115" s="39"/>
      <c r="C115" s="69"/>
      <c r="D115" s="69"/>
      <c r="E115" s="39"/>
      <c r="F115" s="16"/>
      <c r="G115" s="16"/>
      <c r="H115" s="70"/>
      <c r="I115" s="16"/>
      <c r="J115" s="71"/>
      <c r="K115" s="16"/>
      <c r="L115" s="72"/>
      <c r="M115" s="72"/>
      <c r="N115" s="72"/>
      <c r="O115" s="73"/>
      <c r="P115" s="73"/>
      <c r="Q115" s="16"/>
    </row>
    <row r="116" spans="1:17" s="8" customFormat="1" ht="13.8" x14ac:dyDescent="0.3">
      <c r="A116" s="14"/>
      <c r="B116" s="145" t="s">
        <v>129</v>
      </c>
      <c r="C116" s="146"/>
      <c r="D116" s="69"/>
      <c r="E116" s="147" t="s">
        <v>130</v>
      </c>
      <c r="F116" s="148"/>
      <c r="G116" s="134">
        <f>F121</f>
        <v>22</v>
      </c>
      <c r="H116" s="135"/>
      <c r="I116" s="41"/>
      <c r="J116" s="14"/>
      <c r="K116" s="14"/>
      <c r="L116" s="74"/>
      <c r="M116" s="74"/>
      <c r="N116" s="74"/>
      <c r="O116" s="73"/>
      <c r="P116" s="73"/>
      <c r="Q116" s="43"/>
    </row>
    <row r="117" spans="1:17" s="8" customFormat="1" ht="13.8" x14ac:dyDescent="0.3">
      <c r="A117" s="14"/>
      <c r="B117" s="39" t="s">
        <v>32</v>
      </c>
      <c r="C117" s="16">
        <f>H6</f>
        <v>3</v>
      </c>
      <c r="D117" s="14"/>
      <c r="E117" s="149"/>
      <c r="F117" s="150"/>
      <c r="G117" s="151"/>
      <c r="H117" s="152"/>
      <c r="I117" s="41"/>
      <c r="J117" s="72"/>
      <c r="K117" s="72"/>
      <c r="L117" s="74"/>
      <c r="M117" s="74"/>
      <c r="N117" s="74"/>
      <c r="O117" s="73"/>
      <c r="P117" s="73"/>
      <c r="Q117" s="16"/>
    </row>
    <row r="118" spans="1:17" s="8" customFormat="1" ht="13.8" x14ac:dyDescent="0.3">
      <c r="A118" s="75"/>
      <c r="B118" s="39" t="s">
        <v>131</v>
      </c>
      <c r="C118" s="16">
        <f>H12</f>
        <v>0</v>
      </c>
      <c r="D118" s="16"/>
      <c r="E118" s="43"/>
      <c r="F118" s="43"/>
      <c r="G118" s="43"/>
      <c r="H118" s="53"/>
      <c r="I118" s="43"/>
      <c r="J118" s="74"/>
      <c r="K118" s="73"/>
      <c r="L118" s="74"/>
      <c r="M118" s="74"/>
      <c r="N118" s="74"/>
      <c r="O118" s="73"/>
      <c r="P118" s="73"/>
      <c r="Q118" s="76"/>
    </row>
    <row r="119" spans="1:17" s="8" customFormat="1" ht="13.8" x14ac:dyDescent="0.3">
      <c r="A119" s="75"/>
      <c r="B119" s="77" t="s">
        <v>132</v>
      </c>
      <c r="C119" s="16">
        <f>H15</f>
        <v>0</v>
      </c>
      <c r="D119" s="16"/>
      <c r="E119" s="145" t="s">
        <v>133</v>
      </c>
      <c r="F119" s="153"/>
      <c r="G119" s="153"/>
      <c r="H119" s="153"/>
      <c r="I119" s="146"/>
      <c r="J119" s="14"/>
      <c r="K119" s="74"/>
      <c r="L119" s="74"/>
      <c r="M119" s="74"/>
      <c r="N119" s="74"/>
      <c r="O119" s="73"/>
      <c r="P119" s="73"/>
      <c r="Q119" s="16"/>
    </row>
    <row r="120" spans="1:17" s="8" customFormat="1" ht="13.8" x14ac:dyDescent="0.3">
      <c r="A120" s="75"/>
      <c r="B120" s="39" t="s">
        <v>134</v>
      </c>
      <c r="C120" s="16">
        <f>SUM(H17,H25)</f>
        <v>20</v>
      </c>
      <c r="D120" s="16"/>
      <c r="E120" s="16" t="s">
        <v>135</v>
      </c>
      <c r="F120" s="16" t="s">
        <v>136</v>
      </c>
      <c r="G120" s="154" t="s">
        <v>137</v>
      </c>
      <c r="H120" s="155"/>
      <c r="I120" s="43" t="s">
        <v>138</v>
      </c>
      <c r="J120" s="14"/>
      <c r="K120" s="50"/>
      <c r="L120" s="74"/>
      <c r="M120" s="74"/>
      <c r="N120" s="74"/>
      <c r="O120" s="73"/>
      <c r="P120" s="73"/>
      <c r="Q120" s="16"/>
    </row>
    <row r="121" spans="1:17" s="8" customFormat="1" ht="13.8" x14ac:dyDescent="0.3">
      <c r="A121" s="75"/>
      <c r="B121" s="39" t="s">
        <v>139</v>
      </c>
      <c r="C121" s="16">
        <f>SUM(H41)</f>
        <v>14</v>
      </c>
      <c r="D121" s="16"/>
      <c r="E121" s="132">
        <f>COUNTIF(D6:D112,"*D*")</f>
        <v>25</v>
      </c>
      <c r="F121" s="132">
        <f>COUNTIF(D6:D112,"*N*")</f>
        <v>22</v>
      </c>
      <c r="G121" s="134">
        <f>COUNTIF(F6:F112,"*RIG*")</f>
        <v>9</v>
      </c>
      <c r="H121" s="135"/>
      <c r="I121" s="132">
        <f>COUNTIF(D6:D112,"*G*")</f>
        <v>35</v>
      </c>
      <c r="J121" s="14"/>
      <c r="K121" s="74"/>
      <c r="L121" s="74"/>
      <c r="M121" s="74"/>
      <c r="N121" s="74"/>
      <c r="O121" s="78"/>
      <c r="P121" s="78"/>
      <c r="Q121" s="16"/>
    </row>
    <row r="122" spans="1:17" s="8" customFormat="1" ht="13.8" x14ac:dyDescent="0.3">
      <c r="A122" s="75"/>
      <c r="B122" s="39" t="s">
        <v>140</v>
      </c>
      <c r="C122" s="16">
        <f>H56</f>
        <v>10</v>
      </c>
      <c r="D122" s="16"/>
      <c r="E122" s="133"/>
      <c r="F122" s="133"/>
      <c r="G122" s="136"/>
      <c r="H122" s="137"/>
      <c r="I122" s="133"/>
      <c r="J122" s="14"/>
      <c r="K122" s="74"/>
      <c r="L122" s="74"/>
      <c r="M122" s="74"/>
      <c r="N122" s="74"/>
      <c r="O122" s="78"/>
      <c r="P122" s="78"/>
      <c r="Q122" s="16"/>
    </row>
    <row r="123" spans="1:17" s="8" customFormat="1" ht="13.8" x14ac:dyDescent="0.3">
      <c r="A123" s="75"/>
      <c r="B123" s="39" t="s">
        <v>141</v>
      </c>
      <c r="C123" s="16">
        <f>H72</f>
        <v>4</v>
      </c>
      <c r="D123" s="16"/>
      <c r="E123" s="130" t="s">
        <v>142</v>
      </c>
      <c r="F123" s="130"/>
      <c r="G123" s="13" t="s">
        <v>24</v>
      </c>
      <c r="H123" s="79" t="s">
        <v>25</v>
      </c>
      <c r="I123" s="43"/>
      <c r="J123" s="14"/>
      <c r="K123" s="74"/>
      <c r="L123" s="74"/>
      <c r="M123" s="74"/>
      <c r="N123" s="74"/>
      <c r="O123" s="78"/>
      <c r="P123" s="78"/>
      <c r="Q123" s="16"/>
    </row>
    <row r="124" spans="1:17" s="8" customFormat="1" ht="13.8" x14ac:dyDescent="0.3">
      <c r="A124" s="75"/>
      <c r="B124" s="16" t="s">
        <v>143</v>
      </c>
      <c r="C124" s="16">
        <v>0</v>
      </c>
      <c r="D124" s="16"/>
      <c r="E124" s="127" t="s">
        <v>32</v>
      </c>
      <c r="F124" s="127"/>
      <c r="G124" s="16">
        <f>C117</f>
        <v>3</v>
      </c>
      <c r="H124" s="80">
        <f t="shared" ref="H124:H130" si="9">P6</f>
        <v>0</v>
      </c>
      <c r="I124" s="43"/>
      <c r="J124" s="14"/>
      <c r="K124" s="74"/>
      <c r="L124" s="74"/>
      <c r="M124" s="74"/>
      <c r="N124" s="74"/>
      <c r="O124" s="78"/>
      <c r="P124" s="78"/>
      <c r="Q124" s="16"/>
    </row>
    <row r="125" spans="1:17" s="8" customFormat="1" ht="13.8" x14ac:dyDescent="0.3">
      <c r="A125" s="75"/>
      <c r="B125" s="39" t="s">
        <v>144</v>
      </c>
      <c r="C125" s="16">
        <f>SUM(H68)</f>
        <v>0</v>
      </c>
      <c r="D125" s="16"/>
      <c r="E125" s="131" t="s">
        <v>145</v>
      </c>
      <c r="F125" s="131"/>
      <c r="G125" s="16">
        <f>C129</f>
        <v>0</v>
      </c>
      <c r="H125" s="80">
        <f t="shared" si="9"/>
        <v>0</v>
      </c>
      <c r="I125" s="43"/>
      <c r="J125" s="78"/>
      <c r="K125" s="78"/>
      <c r="L125" s="74"/>
      <c r="M125" s="74"/>
      <c r="N125" s="74"/>
      <c r="O125" s="78"/>
      <c r="P125" s="78"/>
      <c r="Q125" s="76"/>
    </row>
    <row r="126" spans="1:17" s="8" customFormat="1" ht="13.8" x14ac:dyDescent="0.3">
      <c r="A126" s="75"/>
      <c r="B126" s="39" t="s">
        <v>146</v>
      </c>
      <c r="C126" s="16">
        <v>22</v>
      </c>
      <c r="D126" s="16"/>
      <c r="E126" s="127" t="s">
        <v>47</v>
      </c>
      <c r="F126" s="127"/>
      <c r="G126" s="16">
        <f t="shared" ref="G126:G131" si="10">C118</f>
        <v>0</v>
      </c>
      <c r="H126" s="80">
        <f t="shared" si="9"/>
        <v>0</v>
      </c>
      <c r="I126" s="43"/>
      <c r="J126" s="14"/>
      <c r="K126" s="74"/>
      <c r="L126" s="74"/>
      <c r="M126" s="74"/>
      <c r="N126" s="74"/>
      <c r="O126" s="78"/>
      <c r="P126" s="78"/>
      <c r="Q126" s="16"/>
    </row>
    <row r="127" spans="1:17" s="8" customFormat="1" ht="13.8" x14ac:dyDescent="0.3">
      <c r="A127" s="75"/>
      <c r="B127" s="15" t="s">
        <v>122</v>
      </c>
      <c r="C127" s="14">
        <f>H108</f>
        <v>4</v>
      </c>
      <c r="D127" s="16"/>
      <c r="E127" s="127" t="s">
        <v>147</v>
      </c>
      <c r="F127" s="127"/>
      <c r="G127" s="16">
        <f t="shared" si="10"/>
        <v>0</v>
      </c>
      <c r="H127" s="80">
        <f t="shared" si="9"/>
        <v>0</v>
      </c>
      <c r="I127" s="43"/>
      <c r="J127" s="16"/>
      <c r="K127" s="74"/>
      <c r="L127" s="74"/>
      <c r="M127" s="74"/>
      <c r="N127" s="74"/>
      <c r="O127" s="78"/>
      <c r="P127" s="78"/>
      <c r="Q127" s="16"/>
    </row>
    <row r="128" spans="1:17" s="8" customFormat="1" ht="13.8" x14ac:dyDescent="0.3">
      <c r="A128" s="75"/>
      <c r="B128" s="39" t="s">
        <v>119</v>
      </c>
      <c r="C128" s="14">
        <v>4</v>
      </c>
      <c r="D128" s="16"/>
      <c r="E128" s="127" t="str">
        <f>B120</f>
        <v>KSD DAY</v>
      </c>
      <c r="F128" s="127"/>
      <c r="G128" s="16">
        <f t="shared" si="10"/>
        <v>20</v>
      </c>
      <c r="H128" s="80">
        <f t="shared" si="9"/>
        <v>0</v>
      </c>
      <c r="I128" s="43"/>
      <c r="J128" s="16"/>
      <c r="K128" s="74"/>
      <c r="L128" s="74"/>
      <c r="M128" s="74"/>
      <c r="N128" s="74"/>
      <c r="O128" s="78"/>
      <c r="P128" s="78"/>
      <c r="Q128" s="16"/>
    </row>
    <row r="129" spans="1:17" s="8" customFormat="1" ht="13.8" x14ac:dyDescent="0.3">
      <c r="A129" s="75"/>
      <c r="B129" s="39" t="s">
        <v>145</v>
      </c>
      <c r="C129" s="14">
        <f>H70</f>
        <v>0</v>
      </c>
      <c r="D129" s="16"/>
      <c r="E129" s="127" t="str">
        <f>B121</f>
        <v>KSD NIGHT</v>
      </c>
      <c r="F129" s="127"/>
      <c r="G129" s="16">
        <f t="shared" si="10"/>
        <v>14</v>
      </c>
      <c r="H129" s="80">
        <f t="shared" si="9"/>
        <v>0</v>
      </c>
      <c r="I129" s="43"/>
      <c r="J129" s="16"/>
      <c r="K129" s="74"/>
      <c r="L129" s="74"/>
      <c r="M129" s="74"/>
      <c r="N129" s="74"/>
      <c r="O129" s="78"/>
      <c r="P129" s="78"/>
      <c r="Q129" s="16"/>
    </row>
    <row r="130" spans="1:17" s="8" customFormat="1" ht="13.8" x14ac:dyDescent="0.3">
      <c r="A130" s="75"/>
      <c r="B130" s="15" t="s">
        <v>148</v>
      </c>
      <c r="C130" s="16">
        <f>H10</f>
        <v>0</v>
      </c>
      <c r="D130" s="16"/>
      <c r="E130" s="127" t="str">
        <f>B122</f>
        <v>KSD THIRD PARTY</v>
      </c>
      <c r="F130" s="127"/>
      <c r="G130" s="16">
        <f t="shared" si="10"/>
        <v>10</v>
      </c>
      <c r="H130" s="80">
        <f t="shared" si="9"/>
        <v>0</v>
      </c>
      <c r="I130" s="43"/>
      <c r="J130" s="16"/>
      <c r="K130" s="74"/>
      <c r="L130" s="74"/>
      <c r="M130" s="74"/>
      <c r="N130" s="74"/>
      <c r="O130" s="78"/>
      <c r="P130" s="78"/>
      <c r="Q130" s="16"/>
    </row>
    <row r="131" spans="1:17" s="8" customFormat="1" ht="13.8" x14ac:dyDescent="0.3">
      <c r="A131" s="75"/>
      <c r="B131" s="81" t="s">
        <v>149</v>
      </c>
      <c r="C131" s="81">
        <f>SUM(C117:C130)</f>
        <v>81</v>
      </c>
      <c r="D131" s="14"/>
      <c r="E131" s="127" t="str">
        <f>B123</f>
        <v xml:space="preserve">CATERING STAFF AT RIG </v>
      </c>
      <c r="F131" s="127"/>
      <c r="G131" s="16">
        <f t="shared" si="10"/>
        <v>4</v>
      </c>
      <c r="H131" s="80">
        <f t="shared" ref="H131:H136" si="11">P14</f>
        <v>0</v>
      </c>
      <c r="I131" s="43"/>
      <c r="J131" s="16"/>
      <c r="K131" s="74"/>
      <c r="L131" s="74"/>
      <c r="M131" s="74"/>
      <c r="N131" s="74"/>
      <c r="O131" s="78"/>
      <c r="P131" s="78"/>
      <c r="Q131" s="16"/>
    </row>
    <row r="132" spans="1:17" s="8" customFormat="1" ht="13.8" x14ac:dyDescent="0.3">
      <c r="A132" s="75"/>
      <c r="B132" s="15"/>
      <c r="C132" s="14"/>
      <c r="D132" s="16"/>
      <c r="E132" s="127" t="str">
        <f>B125</f>
        <v>KSD  VISITORS</v>
      </c>
      <c r="F132" s="127"/>
      <c r="G132" s="16">
        <f>C125</f>
        <v>0</v>
      </c>
      <c r="H132" s="80">
        <f t="shared" si="11"/>
        <v>0</v>
      </c>
      <c r="I132" s="43"/>
      <c r="J132" s="16"/>
      <c r="K132" s="74"/>
      <c r="L132" s="74"/>
      <c r="M132" s="74"/>
      <c r="N132" s="74"/>
      <c r="O132" s="78"/>
      <c r="P132" s="78"/>
      <c r="Q132" s="16"/>
    </row>
    <row r="133" spans="1:17" s="8" customFormat="1" ht="13.8" x14ac:dyDescent="0.3">
      <c r="A133" s="75"/>
      <c r="B133" s="82"/>
      <c r="C133" s="82"/>
      <c r="D133" s="14"/>
      <c r="E133" s="127" t="str">
        <f>B126</f>
        <v>ILM TLR DVR &amp; HELP</v>
      </c>
      <c r="F133" s="127"/>
      <c r="G133" s="16">
        <f>C126</f>
        <v>22</v>
      </c>
      <c r="H133" s="80">
        <f t="shared" si="11"/>
        <v>0</v>
      </c>
      <c r="I133" s="43"/>
      <c r="J133" s="16"/>
      <c r="K133" s="74"/>
      <c r="L133" s="74"/>
      <c r="M133" s="74"/>
      <c r="N133" s="74"/>
      <c r="O133" s="78"/>
      <c r="P133" s="78"/>
      <c r="Q133" s="16"/>
    </row>
    <row r="134" spans="1:17" s="8" customFormat="1" ht="13.8" x14ac:dyDescent="0.3">
      <c r="A134" s="75"/>
      <c r="B134" s="82"/>
      <c r="C134" s="82"/>
      <c r="D134" s="14"/>
      <c r="E134" s="127" t="str">
        <f>B128</f>
        <v>ILM CRANE</v>
      </c>
      <c r="F134" s="127"/>
      <c r="G134" s="16">
        <f>C128</f>
        <v>4</v>
      </c>
      <c r="H134" s="80">
        <f t="shared" si="11"/>
        <v>0</v>
      </c>
      <c r="I134" s="43"/>
      <c r="J134" s="16"/>
      <c r="K134" s="74"/>
      <c r="L134" s="74"/>
      <c r="M134" s="74"/>
      <c r="N134" s="74"/>
      <c r="O134" s="78"/>
      <c r="P134" s="78"/>
      <c r="Q134" s="16"/>
    </row>
    <row r="135" spans="1:17" s="8" customFormat="1" ht="13.8" x14ac:dyDescent="0.3">
      <c r="A135" s="43"/>
      <c r="B135" s="82"/>
      <c r="C135" s="53"/>
      <c r="D135" s="14"/>
      <c r="E135" s="127" t="str">
        <f>B130</f>
        <v xml:space="preserve">VEDANTA VISITOR </v>
      </c>
      <c r="F135" s="127"/>
      <c r="G135" s="16">
        <f>C130</f>
        <v>0</v>
      </c>
      <c r="H135" s="80">
        <f t="shared" si="11"/>
        <v>0</v>
      </c>
      <c r="I135" s="43"/>
      <c r="J135" s="16"/>
      <c r="K135" s="74"/>
      <c r="L135" s="74"/>
      <c r="M135" s="74"/>
      <c r="N135" s="74"/>
      <c r="O135" s="78"/>
      <c r="P135" s="78"/>
      <c r="Q135" s="16"/>
    </row>
    <row r="136" spans="1:17" s="8" customFormat="1" ht="13.8" x14ac:dyDescent="0.3">
      <c r="A136" s="43"/>
      <c r="B136" s="82"/>
      <c r="C136" s="82"/>
      <c r="D136" s="16"/>
      <c r="E136" s="127" t="s">
        <v>122</v>
      </c>
      <c r="F136" s="127"/>
      <c r="G136" s="16">
        <f>C127</f>
        <v>4</v>
      </c>
      <c r="H136" s="80">
        <f t="shared" si="11"/>
        <v>0</v>
      </c>
      <c r="I136" s="43"/>
      <c r="J136" s="16"/>
      <c r="K136" s="74"/>
      <c r="L136" s="74"/>
      <c r="M136" s="74"/>
      <c r="N136" s="74"/>
      <c r="O136" s="78"/>
      <c r="P136" s="78"/>
      <c r="Q136" s="16"/>
    </row>
    <row r="137" spans="1:17" s="8" customFormat="1" ht="13.8" x14ac:dyDescent="0.3">
      <c r="A137" s="43"/>
      <c r="B137" s="82"/>
      <c r="C137" s="82"/>
      <c r="D137" s="16"/>
      <c r="E137" s="128" t="s">
        <v>150</v>
      </c>
      <c r="F137" s="128"/>
      <c r="G137" s="13">
        <f>SUM(G124:G136)</f>
        <v>81</v>
      </c>
      <c r="H137" s="38">
        <f>SUM(H124:H136)</f>
        <v>0</v>
      </c>
      <c r="I137" s="43"/>
      <c r="J137" s="16"/>
      <c r="K137" s="74"/>
      <c r="L137" s="74"/>
      <c r="M137" s="74"/>
      <c r="N137" s="74"/>
      <c r="O137" s="78"/>
      <c r="P137" s="78"/>
      <c r="Q137" s="16"/>
    </row>
    <row r="138" spans="1:17" s="8" customFormat="1" ht="13.8" x14ac:dyDescent="0.3">
      <c r="A138" s="43"/>
      <c r="B138" s="82"/>
      <c r="C138" s="82"/>
      <c r="D138" s="16"/>
      <c r="E138" s="128" t="s">
        <v>151</v>
      </c>
      <c r="F138" s="128"/>
      <c r="G138" s="13">
        <f>(G137-H137)</f>
        <v>81</v>
      </c>
      <c r="H138" s="38">
        <f>SUM(H125:H137)</f>
        <v>0</v>
      </c>
      <c r="I138" s="43"/>
      <c r="J138" s="16"/>
      <c r="K138" s="74"/>
      <c r="L138" s="74"/>
      <c r="M138" s="74"/>
      <c r="N138" s="74"/>
      <c r="O138" s="14"/>
      <c r="P138" s="14"/>
      <c r="Q138" s="16"/>
    </row>
    <row r="140" spans="1:17" s="85" customFormat="1" x14ac:dyDescent="0.3">
      <c r="A140" s="83"/>
      <c r="B140" s="83"/>
      <c r="C140" s="83"/>
      <c r="D140" s="84"/>
      <c r="J140"/>
      <c r="K140"/>
      <c r="L140"/>
      <c r="M140"/>
      <c r="N140"/>
      <c r="O140"/>
      <c r="P140"/>
    </row>
    <row r="143" spans="1:17" s="85" customFormat="1" x14ac:dyDescent="0.3">
      <c r="A143" s="83"/>
      <c r="B143" s="83"/>
      <c r="C143" s="83"/>
      <c r="D143" s="84"/>
      <c r="E143" s="83"/>
      <c r="F143" s="83"/>
      <c r="G143" s="83"/>
      <c r="H143" s="83"/>
      <c r="I143"/>
      <c r="J143"/>
      <c r="K143"/>
      <c r="L143"/>
      <c r="M143"/>
      <c r="N143"/>
      <c r="O143"/>
      <c r="P143" s="129"/>
    </row>
    <row r="144" spans="1:17" s="85" customFormat="1" x14ac:dyDescent="0.3">
      <c r="E144" s="83"/>
      <c r="F144" s="83"/>
      <c r="G144" s="83"/>
      <c r="H144" s="83"/>
      <c r="I144"/>
      <c r="P144" s="129"/>
    </row>
  </sheetData>
  <mergeCells count="54">
    <mergeCell ref="A40:Q40"/>
    <mergeCell ref="Q1:Q4"/>
    <mergeCell ref="F2:G2"/>
    <mergeCell ref="H2:I2"/>
    <mergeCell ref="F3:G3"/>
    <mergeCell ref="H3:I3"/>
    <mergeCell ref="K3:N3"/>
    <mergeCell ref="F4:G4"/>
    <mergeCell ref="H4:J4"/>
    <mergeCell ref="K4:N4"/>
    <mergeCell ref="A1:D4"/>
    <mergeCell ref="F1:G1"/>
    <mergeCell ref="H1:I1"/>
    <mergeCell ref="K1:N2"/>
    <mergeCell ref="O1:O3"/>
    <mergeCell ref="P1:P3"/>
    <mergeCell ref="L5:N5"/>
    <mergeCell ref="A11:Q11"/>
    <mergeCell ref="A14:Q14"/>
    <mergeCell ref="A16:Q16"/>
    <mergeCell ref="A24:Q24"/>
    <mergeCell ref="G120:H120"/>
    <mergeCell ref="A67:Q67"/>
    <mergeCell ref="A69:Q69"/>
    <mergeCell ref="A71:Q71"/>
    <mergeCell ref="A77:Q77"/>
    <mergeCell ref="A83:Q83"/>
    <mergeCell ref="A107:Q107"/>
    <mergeCell ref="A113:Q113"/>
    <mergeCell ref="B116:C116"/>
    <mergeCell ref="E116:F117"/>
    <mergeCell ref="G116:H117"/>
    <mergeCell ref="E119:I119"/>
    <mergeCell ref="E130:F130"/>
    <mergeCell ref="E121:E122"/>
    <mergeCell ref="F121:F122"/>
    <mergeCell ref="G121:H122"/>
    <mergeCell ref="I121:I122"/>
    <mergeCell ref="E123:F123"/>
    <mergeCell ref="E124:F124"/>
    <mergeCell ref="E125:F125"/>
    <mergeCell ref="E126:F126"/>
    <mergeCell ref="E127:F127"/>
    <mergeCell ref="E128:F128"/>
    <mergeCell ref="E129:F129"/>
    <mergeCell ref="E137:F137"/>
    <mergeCell ref="E138:F138"/>
    <mergeCell ref="P143:P144"/>
    <mergeCell ref="E131:F131"/>
    <mergeCell ref="E132:F132"/>
    <mergeCell ref="E133:F133"/>
    <mergeCell ref="E134:F134"/>
    <mergeCell ref="E135:F135"/>
    <mergeCell ref="E136:F136"/>
  </mergeCells>
  <pageMargins left="0.7" right="0.7" top="0.75" bottom="0.75" header="0.3" footer="0.3"/>
  <headerFooter>
    <oddFooter>&amp;C_x000D_&amp;1#&amp;"Aptos"&amp;6&amp;KC0C0C0 Sensitivity: Public (C4)</oddFooter>
  </headerFooter>
  <drawing r:id="rId1"/>
</worksheet>
</file>

<file path=docMetadata/LabelInfo.xml><?xml version="1.0" encoding="utf-8"?>
<clbl:labelList xmlns:clbl="http://schemas.microsoft.com/office/2020/mipLabelMetadata">
  <clbl:label id="{cb71a9a9-b7c0-41f4-922f-92f912ec01fe}" enabled="1" method="Privileged" siteId="{4273e6e9-aed1-40ab-83a3-85e0d43de70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01-05-2026</vt:lpstr>
      <vt:lpstr>02-05-2026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Radio Officer Rig PPE-2</dc:creator>
  <cp:lastModifiedBy>P V Ramana Reddy</cp:lastModifiedBy>
  <cp:lastPrinted>2026-05-06T10:53:19Z</cp:lastPrinted>
  <dcterms:created xsi:type="dcterms:W3CDTF">2015-06-05T18:17:20Z</dcterms:created>
  <dcterms:modified xsi:type="dcterms:W3CDTF">2026-05-09T04:58:41Z</dcterms:modified>
</cp:coreProperties>
</file>